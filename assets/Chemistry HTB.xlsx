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Activity - Web" sheetId="1" r:id="rId4"/>
    <sheet state="visible" name="Detail Reporting" sheetId="2" r:id="rId5"/>
    <sheet state="visible" name="CVSS" sheetId="3" r:id="rId6"/>
    <sheet state="visible" name="Evidence" sheetId="4" r:id="rId7"/>
    <sheet state="visible" name="References" sheetId="5" r:id="rId8"/>
  </sheets>
  <definedNames/>
  <calcPr/>
</workbook>
</file>

<file path=xl/sharedStrings.xml><?xml version="1.0" encoding="utf-8"?>
<sst xmlns="http://schemas.openxmlformats.org/spreadsheetml/2006/main" count="299" uniqueCount="169">
  <si>
    <t>Web (WEB) Security Testing</t>
  </si>
  <si>
    <t>Source:</t>
  </si>
  <si>
    <t>https://www.owasp.org/index.php/OWASP_Testing_Guide_v4_Table_of_Contents</t>
  </si>
  <si>
    <t>ID</t>
  </si>
  <si>
    <t>Section</t>
  </si>
  <si>
    <t>Detailed Verification Requirement</t>
  </si>
  <si>
    <t>Tool</t>
  </si>
  <si>
    <t>Testing Procedure</t>
  </si>
  <si>
    <t>Result</t>
  </si>
  <si>
    <t>Activity Date</t>
  </si>
  <si>
    <t>Finding</t>
  </si>
  <si>
    <t>Index</t>
  </si>
  <si>
    <t>Contributor</t>
  </si>
  <si>
    <t>4.1.4</t>
  </si>
  <si>
    <t>Information Gathering</t>
  </si>
  <si>
    <t>Enumerate Applications on Webserver</t>
  </si>
  <si>
    <t>nmap</t>
  </si>
  <si>
    <t xml:space="preserve">1. Connect ke HTB menggunakan OPENVPN untuk mendapatkan IP Address dari machine.
2. Membuka Kali, lalu connectkan menggunakan OPENVPN yang di dapat dari HTB
3.Menggunakan nmap untuk mengscan semua ports yang terbuka pada IP target.
</t>
  </si>
  <si>
    <t>Port 22(SSH) dan Port 5000(upnp)</t>
  </si>
  <si>
    <t>No</t>
  </si>
  <si>
    <t>WSTG-INFO-04</t>
  </si>
  <si>
    <t>Pillar, Hensley, Willy, Andragi</t>
  </si>
  <si>
    <t>4.1.5</t>
  </si>
  <si>
    <t>Review Webpage Content for Information Leakage</t>
  </si>
  <si>
    <t>Mozilla Firefox</t>
  </si>
  <si>
    <t>1. Terdapat suatu website "Chemistry CIF Analyzer" yang memungkinkan user untuk login dan register.
2. Mencoba melakukan register, dan langsung masuk ke "Dashboard" pada website tersebut.
3.Terdapat file yang dapat di download pada website, "example.cif".</t>
  </si>
  <si>
    <t>File dengan ekstensi  .cif</t>
  </si>
  <si>
    <t>WSTG-INFO-05</t>
  </si>
  <si>
    <t>4.4.7</t>
  </si>
  <si>
    <t>Authentication Testing</t>
  </si>
  <si>
    <t>Testing for Weak Password Policy</t>
  </si>
  <si>
    <t xml:space="preserve">1. Terdapat page untuk register dan login
2. Saat melakukan register, tidak adanya pembatasan minimal dan kombinasi karakter dalam membuat akun.
</t>
  </si>
  <si>
    <t>Bisa regist dengan password yang lemah</t>
  </si>
  <si>
    <t>Yes</t>
  </si>
  <si>
    <t>WSTG-ATHN-07</t>
  </si>
  <si>
    <t>4.1.3</t>
  </si>
  <si>
    <t>Conduct Search Engine Discovery Reconnaissance for Information Leakage</t>
  </si>
  <si>
    <t>1. Karena kita mendapatkan file berekstensi .cif, kita mencari informasi CVE pada file berekstensi .cif</t>
  </si>
  <si>
    <t>Bisa melakukan POC</t>
  </si>
  <si>
    <t>WSTG-INFO-01</t>
  </si>
  <si>
    <t>4.7.12</t>
  </si>
  <si>
    <t>Input Validation Testing</t>
  </si>
  <si>
    <t>Testing for Command Injection</t>
  </si>
  <si>
    <t xml:space="preserve">mousepad
nc -nlvp
</t>
  </si>
  <si>
    <t>1. Kita mendapatkan CVE untuk file bertipe .cif
2. Kemudian kita mencoba untuk menginject command yang kita dapat kedalam file "example.cif"
3. Kita upload file tersebut kedalam server.
4. Lalu menggunakan command "nc -nlvp 4444" untuk "mendengarkan" koneksi pada port 4444 dari server ketika file di klik "view".</t>
  </si>
  <si>
    <t>Command berhasil diinject ke server dan berhasil mendapatkan reverse shell</t>
  </si>
  <si>
    <t>WSTG-INPV-12</t>
  </si>
  <si>
    <t>4.2.9</t>
  </si>
  <si>
    <t xml:space="preserve">Test File Permission
</t>
  </si>
  <si>
    <t xml:space="preserve">Test File Permission
</t>
  </si>
  <si>
    <t>whoami
ls
cd
sqlite3</t>
  </si>
  <si>
    <t>1. Saat memasuki Reverse Shell, kita berada pada user app@chemistry. dimana terdapat directory "instance"
2. Kita memasuki menu tersebut dengan cd instance
3. Kita menemukan bahwa ada file "database.db", lalu kita menggunakan command sqlite3 untuk membaca file database.db.
4. Pada file tersebut terdapat sejumlah user dan password.</t>
  </si>
  <si>
    <t>File database user dan password</t>
  </si>
  <si>
    <t xml:space="preserve">WSTG-CONF-09
</t>
  </si>
  <si>
    <t>4.9.4</t>
  </si>
  <si>
    <t>Testing for Weak Cryptography</t>
  </si>
  <si>
    <t>JohnTheRipper</t>
  </si>
  <si>
    <t>1. Saat di user App, kami dapat melakukan command cd .. dan ls. Lalu terlihat ada user app dan rosa.
2. Pada file database terdapat pula user dan password dari user rosa sehingga kami merasa bahwa password dari file database adalah MD5 dan mencoba melakukan crack password menggunakan JohnTheRipper.
3. Kembali ke terminal kali linux, kami menyimpan hash password dari rosa ke txt dan menggunakan command "john --format=raw-md5 --wordlist=/usr/share/wordlists/rockyou.txt rosahash.txt" sehingga kami mendapatkan password dari user rosa yaitu "unicorniosrosados".
4. Lalu kita mendapatkan user flagnya</t>
  </si>
  <si>
    <t>Password untuk user Rosa</t>
  </si>
  <si>
    <t>WSTG-CRYP-04</t>
  </si>
  <si>
    <t>4.8.12.1</t>
  </si>
  <si>
    <t>Local File Inclusion</t>
  </si>
  <si>
    <t>curl</t>
  </si>
  <si>
    <t>1. saat menggunakan user 'rosa', kami dapat menggunakan command curl, dengan menjalankan command "curl localhost:8080 --head" kami mendapatkan bahwa ada sebuah server yang berjalan menggunakan Python/3.9 aiohttp/3.9.1 sehingga kami mendapatkan CVE local file inclusion.
2. dengan menjalankan command "curl -s --path-as-is http://localhost:8080/assets/../../../../../root/root.txt" yang merupakan percobaan dari local file inclusion, kami mendapatkan root flag dari machine chemistry.</t>
  </si>
  <si>
    <t>root flag</t>
  </si>
  <si>
    <t xml:space="preserve">WSTG-INPV-11
</t>
  </si>
  <si>
    <t>Detail Reporting</t>
  </si>
  <si>
    <t>Title</t>
  </si>
  <si>
    <t>Impacted System</t>
  </si>
  <si>
    <t>Executive Summary</t>
  </si>
  <si>
    <t>Detail (Step-by-Step to Produce)</t>
  </si>
  <si>
    <t>Severity</t>
  </si>
  <si>
    <t>Recommendation</t>
  </si>
  <si>
    <t>Status</t>
  </si>
  <si>
    <t>PIC</t>
  </si>
  <si>
    <t>MOBS-001</t>
  </si>
  <si>
    <t>SQL Injection in Product Search Page</t>
  </si>
  <si>
    <t>E-Commerce Main Page</t>
  </si>
  <si>
    <t>Penyerang akan mampu menyerang database dan mengambil semua data yang dimiliki oleh perusahaan. dari data penjualan, customer, hingga informasi finansial</t>
  </si>
  <si>
    <t>1. Masukkan (kutip 1) di dalam search product di main page
2. Dengan teknik union-based sql injectiion, masukkan payload (1' union select 1,table_name from information_schema.tables ;#) dan akan mengeluarkan semua nama table yang berada di database
3. lanjutkan dengan payload (1' union select 1,column_name from information_schema.columns where table_name = '[nama table]';#) untuk mengeluarkan nama kolom yang berada pada table yang ditargetkan
4. lanjutkan dengan payload (1' union select [nama kolom1],[nama kolom2] from [nama table] ;#) untuk mengeluarkan data sesuai dengan kolom dan table yang ditargetkan</t>
  </si>
  <si>
    <t>Critical</t>
  </si>
  <si>
    <t>mengimplementasikan filter / sanitasi input pada fitur search product</t>
  </si>
  <si>
    <t>Fixed</t>
  </si>
  <si>
    <t>Weak Password  Policy Pada Register dan Login</t>
  </si>
  <si>
    <r>
      <rPr>
        <rFont val="Times New Roman"/>
        <color theme="1"/>
        <sz val="11.0"/>
      </rPr>
      <t>Tidak berdampak secara langsung, tapi akun user dapat di</t>
    </r>
    <r>
      <rPr>
        <rFont val="Times New Roman"/>
        <i/>
        <color theme="1"/>
        <sz val="11.0"/>
      </rPr>
      <t xml:space="preserve"> Brute Force </t>
    </r>
    <r>
      <rPr>
        <rFont val="Times New Roman"/>
        <color theme="1"/>
        <sz val="11.0"/>
      </rPr>
      <t>dengan mudah</t>
    </r>
  </si>
  <si>
    <r>
      <rPr>
        <rFont val="Times New Roman"/>
        <color theme="1"/>
        <sz val="11.0"/>
      </rPr>
      <t xml:space="preserve">Pembuatan akun yang tidak ada pembatasan minimal karakter, dapat mudah sekali di </t>
    </r>
    <r>
      <rPr>
        <rFont val="Times New Roman"/>
        <i/>
        <color theme="1"/>
        <sz val="11.0"/>
      </rPr>
      <t>Brute Force</t>
    </r>
    <r>
      <rPr>
        <rFont val="Times New Roman"/>
        <color theme="1"/>
        <sz val="11.0"/>
      </rPr>
      <t xml:space="preserve"> penyerang dan berakibat penyalahgunaan akun</t>
    </r>
  </si>
  <si>
    <t>1) Masuk ke Website tersebut
2) Lakukan Register tanpa menggunakan karakter khusus
3) Akun pun terbuat</t>
  </si>
  <si>
    <t>High</t>
  </si>
  <si>
    <r>
      <rPr>
        <rFont val="Times New Roman"/>
        <color theme="1"/>
        <sz val="11.0"/>
      </rPr>
      <t xml:space="preserve">1) Menerapkan pembatasan karakter dalam pembuatan password, seperti kombinasi karakter, spesial karakter, dan angka
2) Menerapkan </t>
    </r>
    <r>
      <rPr>
        <rFont val="Times New Roman"/>
        <i/>
        <color theme="1"/>
        <sz val="11.0"/>
      </rPr>
      <t>Lockout Mechanism</t>
    </r>
    <r>
      <rPr>
        <rFont val="Times New Roman"/>
        <color theme="1"/>
        <sz val="11.0"/>
      </rPr>
      <t xml:space="preserve">, sehingga menghindari </t>
    </r>
    <r>
      <rPr>
        <rFont val="Times New Roman"/>
        <i/>
        <color theme="1"/>
        <sz val="11.0"/>
      </rPr>
      <t xml:space="preserve">Brute Force </t>
    </r>
    <r>
      <rPr>
        <rFont val="Times New Roman"/>
        <color theme="1"/>
        <sz val="11.0"/>
      </rPr>
      <t>pada website.</t>
    </r>
  </si>
  <si>
    <r>
      <rPr>
        <rFont val="Times New Roman"/>
        <color theme="1"/>
        <sz val="11.0"/>
      </rPr>
      <t xml:space="preserve">Menggunakan Payload untuk di upload ke server Chemistry dan mendapatkan </t>
    </r>
    <r>
      <rPr>
        <rFont val="Times New Roman"/>
        <i/>
        <color theme="1"/>
        <sz val="11.0"/>
      </rPr>
      <t>reverse shell</t>
    </r>
  </si>
  <si>
    <t>Web Application</t>
  </si>
  <si>
    <t>Memasukan Payload kedalam File yang didownload di server tersebut, lalu disave dengan .cif. Kemudian diupload ke server</t>
  </si>
  <si>
    <r>
      <rPr>
        <rFont val="Times New Roman"/>
        <color theme="1"/>
        <sz val="11.0"/>
      </rPr>
      <t xml:space="preserve">1) Masukan </t>
    </r>
    <r>
      <rPr>
        <rFont val="Times New Roman"/>
        <i/>
        <color theme="1"/>
        <sz val="11.0"/>
      </rPr>
      <t xml:space="preserve">Payload </t>
    </r>
    <r>
      <rPr>
        <rFont val="Times New Roman"/>
        <color theme="1"/>
        <sz val="11.0"/>
      </rPr>
      <t xml:space="preserve">kedalam file yang didownload diserver tersebut bertipe .cif
2) Upload file tersebut kedalam servernya
3) Lalu kita menangkap aktivitas yang kita lakukan di server
4) Lalu kita mendapatkan </t>
    </r>
    <r>
      <rPr>
        <rFont val="Times New Roman"/>
        <i/>
        <color theme="1"/>
        <sz val="11.0"/>
      </rPr>
      <t xml:space="preserve">Reverse Shell </t>
    </r>
    <r>
      <rPr>
        <rFont val="Times New Roman"/>
        <color theme="1"/>
        <sz val="11.0"/>
      </rPr>
      <t>nya.</t>
    </r>
  </si>
  <si>
    <t>1) Validasi untuk tipe file yang diupload
2) Periksa tipe file berdasarkan MIME type, bukan hanya ekstensi, karena ekstensi file dapat dimanipulasi.
3) Konfigurasi firewall untuk memblokir koneksi keluar server dari port tertentu</t>
  </si>
  <si>
    <r>
      <rPr>
        <rFont val="Times New Roman"/>
        <color theme="1"/>
        <sz val="11.0"/>
      </rPr>
      <t xml:space="preserve">Melakukan Test file pada </t>
    </r>
    <r>
      <rPr>
        <rFont val="Times New Roman"/>
        <i/>
        <color theme="1"/>
        <sz val="11.0"/>
      </rPr>
      <t xml:space="preserve">reverse shell </t>
    </r>
    <r>
      <rPr>
        <rFont val="Times New Roman"/>
        <color theme="1"/>
        <sz val="11.0"/>
      </rPr>
      <t xml:space="preserve"> dan mendapatkan username dan passwordnya</t>
    </r>
  </si>
  <si>
    <r>
      <rPr>
        <rFont val="Times New Roman"/>
        <color theme="1"/>
        <sz val="11.0"/>
      </rPr>
      <t xml:space="preserve">Pada </t>
    </r>
    <r>
      <rPr>
        <rFont val="Times New Roman"/>
        <i/>
        <color theme="1"/>
        <sz val="11.0"/>
      </rPr>
      <t xml:space="preserve">reverse shell </t>
    </r>
    <r>
      <rPr>
        <rFont val="Times New Roman"/>
        <color theme="1"/>
        <sz val="11.0"/>
      </rPr>
      <t xml:space="preserve"> kita berada pada user app@chemistry. dimana pada user ini ditemukan  directory </t>
    </r>
    <r>
      <rPr>
        <rFont val="Times New Roman"/>
        <i/>
        <color theme="1"/>
        <sz val="11.0"/>
      </rPr>
      <t xml:space="preserve">instance </t>
    </r>
    <r>
      <rPr>
        <rFont val="Times New Roman"/>
        <color theme="1"/>
        <sz val="11.0"/>
      </rPr>
      <t>dan terdapat file database.db. Dimana ditemukan sejumlah username dan password</t>
    </r>
  </si>
  <si>
    <r>
      <rPr>
        <rFont val="Times New Roman"/>
        <color theme="1"/>
        <sz val="11.0"/>
      </rPr>
      <t xml:space="preserve">1) Pada </t>
    </r>
    <r>
      <rPr>
        <rFont val="Times New Roman"/>
        <i/>
        <color theme="1"/>
        <sz val="11.0"/>
      </rPr>
      <t>reverse shell</t>
    </r>
    <r>
      <rPr>
        <rFont val="Times New Roman"/>
        <color theme="1"/>
        <sz val="11.0"/>
      </rPr>
      <t xml:space="preserve"> app@chemistry, ditemukan directory </t>
    </r>
    <r>
      <rPr>
        <rFont val="Times New Roman"/>
        <i/>
        <color theme="1"/>
        <sz val="11.0"/>
      </rPr>
      <t xml:space="preserve">instance.
</t>
    </r>
    <r>
      <rPr>
        <rFont val="Times New Roman"/>
        <color theme="1"/>
        <sz val="11.0"/>
      </rPr>
      <t xml:space="preserve">2) Pada directory </t>
    </r>
    <r>
      <rPr>
        <rFont val="Times New Roman"/>
        <i/>
        <color theme="1"/>
        <sz val="11.0"/>
      </rPr>
      <t xml:space="preserve">instance </t>
    </r>
    <r>
      <rPr>
        <rFont val="Times New Roman"/>
        <color theme="1"/>
        <sz val="11.0"/>
      </rPr>
      <t>terdapat file database.db
3) Dimana ditemukan sejumlah username dan password yang dihashing lemah.</t>
    </r>
  </si>
  <si>
    <t>1) Simpan file database.db pada directory yang tidak dapat diakses user biasa
2) Enkripsi password dan username dengan algoritma hashing yang kuat.</t>
  </si>
  <si>
    <t>Masuk sebagai user Rosa, dan mencoba untuk mendapatkan user flag</t>
  </si>
  <si>
    <t>Data and Storage System</t>
  </si>
  <si>
    <t>Didapatkan username dan password kemudian di decrypt dengan format md5, kita berhasil mendapatkkan password untuk user rosa@chemistry</t>
  </si>
  <si>
    <t>1) Melakukan decrypt untuk password user yang di hashing dengan md5
2) Mendapatkan password, dan login sebagai rosa@chemistry
3) Lalu terdapat file user.txt, dan berhasil mendapatkan flagnya</t>
  </si>
  <si>
    <t xml:space="preserve">1) Menggunakan algoritma enkripsi yang kuat untuk menghash password
</t>
  </si>
  <si>
    <r>
      <rPr>
        <rFont val="Times New Roman"/>
        <color theme="1"/>
        <sz val="11.0"/>
      </rPr>
      <t xml:space="preserve">Melakukan Local File Inclusion dan mendapatkan </t>
    </r>
    <r>
      <rPr>
        <rFont val="Times New Roman"/>
        <i/>
        <color theme="1"/>
        <sz val="11.0"/>
      </rPr>
      <t xml:space="preserve">privillege escalation </t>
    </r>
    <r>
      <rPr>
        <rFont val="Times New Roman"/>
        <color theme="1"/>
        <sz val="11.0"/>
      </rPr>
      <t>ke root user</t>
    </r>
  </si>
  <si>
    <t>Dari user Rosa, kita melakukan Local File inclusion dan berhasil mendapatkan path untuk menuju root user</t>
  </si>
  <si>
    <t>1) Melakukan curl pada server dan didapat sebuah server yang berjalan menggunakan Python/3.9 aiohttp/3.9.1 sehingga kami mendapatkan CVE local file inclusion.
2) Lalu  kita menuju path dimana root flag disimpan</t>
  </si>
  <si>
    <t>1) Atur server untuk menyembunyikan informasi versi Python atau library seperti aiohttp.
2) Pastikan file sensitif seperti root.txt hanya dapat diakses oleh pengguna atau grup tertentu, bukan oleh pengguna aplikasi:</t>
  </si>
  <si>
    <t>CVSS 3.1 Calculation</t>
  </si>
  <si>
    <t>Attack Vector (AV)</t>
  </si>
  <si>
    <t>Attack Complexity (AC)</t>
  </si>
  <si>
    <t>Privileges Required (PR)</t>
  </si>
  <si>
    <t>User Interaction (UI)</t>
  </si>
  <si>
    <t>Scope (S)</t>
  </si>
  <si>
    <t>Confidentiality (C)</t>
  </si>
  <si>
    <t>Integrity (I)</t>
  </si>
  <si>
    <t>Availability (A)</t>
  </si>
  <si>
    <t>Score</t>
  </si>
  <si>
    <t>String</t>
  </si>
  <si>
    <t>Kelemahan pada pembuatan password pada website</t>
  </si>
  <si>
    <t>Network (N)</t>
  </si>
  <si>
    <t>Low (L)</t>
  </si>
  <si>
    <t>None (N)</t>
  </si>
  <si>
    <t>Unchanged (U)</t>
  </si>
  <si>
    <t>CVSS:3.1/AV:N/AC:L/PR:N/UI:N/S:U/C:L/I:L/A:N</t>
  </si>
  <si>
    <t>Menggunakan Payload untuk di inject ke upload file website</t>
  </si>
  <si>
    <t>Changed (C)</t>
  </si>
  <si>
    <t>High (H)</t>
  </si>
  <si>
    <t>10.0</t>
  </si>
  <si>
    <t>CVSS:3.1/AV:N/AC:L/PR:N/UI:N/S:C/C:H/I:H/A:H</t>
  </si>
  <si>
    <t>Melakukan Test File Permission</t>
  </si>
  <si>
    <t>CVSS:3.1/AV:N/AC:L/PR:N/UI:N/S:C/C:H/I:L/A:N</t>
  </si>
  <si>
    <t>Melakukan Test Untuk Cryptography Yang Lemah</t>
  </si>
  <si>
    <t>CVSS:3.1/AV:N/AC:L/PR:L/UI:N/S:C/C:H/I:L/A:N</t>
  </si>
  <si>
    <t>Test File Inclusion</t>
  </si>
  <si>
    <t>CVSS:3.1/AV:N/AC:L/PR:L/UI:N/S:C/C:H/I:H/A:H</t>
  </si>
  <si>
    <t>Evidence of Identified Vulnerabilities</t>
  </si>
  <si>
    <t>Evidence 1</t>
  </si>
  <si>
    <t>Evidence 2</t>
  </si>
  <si>
    <t>Evidence 3</t>
  </si>
  <si>
    <t>Evidence 4</t>
  </si>
  <si>
    <t>Evidence 5</t>
  </si>
  <si>
    <t>Evidence 6</t>
  </si>
  <si>
    <t>[put the screen capture here]</t>
  </si>
  <si>
    <t>Saya membuat akun dengan username "well" dan password "12345" dan berhasil terbuat</t>
  </si>
  <si>
    <t>Kita melakukan login dengan akun yang teregister tadi</t>
  </si>
  <si>
    <t>Berhasil masuk ke Dashboard dengan akun yang dibuat tadi</t>
  </si>
  <si>
    <t>Kami mengklik "here" dan berhasil mendowload sebuah file bertipe .cif</t>
  </si>
  <si>
    <t>Isi file .cif tersebut</t>
  </si>
  <si>
    <r>
      <rPr>
        <rFont val="Arial"/>
        <color theme="1"/>
        <sz val="10.0"/>
      </rPr>
      <t xml:space="preserve">Lalu kami coba tambahkan </t>
    </r>
    <r>
      <rPr>
        <rFont val="Arial"/>
        <i/>
        <color theme="1"/>
        <sz val="10.0"/>
      </rPr>
      <t>payload</t>
    </r>
    <r>
      <rPr>
        <rFont val="Arial"/>
        <color theme="1"/>
        <sz val="10.0"/>
      </rPr>
      <t xml:space="preserve"> yang kami dapat </t>
    </r>
  </si>
  <si>
    <t>File tersebut kami upload ke server dan berhasil terupload</t>
  </si>
  <si>
    <t xml:space="preserve">Kita pun mendapatkan Reverse Shellnya </t>
  </si>
  <si>
    <t>Terdapat direktori Instance, dan didalamnya terdapat file "database.db"</t>
  </si>
  <si>
    <t>Pada direktori Instance terdapat file database.db, dan isi dari file tersebut adalah username dan password yang dihash dengan md5</t>
  </si>
  <si>
    <t>Mendecrypt password untuk user Rosa dan mendapatkan Password untuk user rosa@chemistry. yaitu "unicorniosrosados"</t>
  </si>
  <si>
    <t>Login sebagai user rosa@chemistry</t>
  </si>
  <si>
    <t>Terdapat file user.txt pada user Rosa@chemistry. dan didapatkan user flagnya</t>
  </si>
  <si>
    <t>Mengcurl dan mendapatkan informasi bahwa server berjalan dengan Python/3.9 aiohttp/391. Dari informasi ini kita dapat melakukan Local File Inclusion (LFI)</t>
  </si>
  <si>
    <t>Menggunakan curl juga kita melakukan LFI dan berhasil mendapatkan Root Flag</t>
  </si>
  <si>
    <t>Table References</t>
  </si>
  <si>
    <t>Risk</t>
  </si>
  <si>
    <t>Confirmed</t>
  </si>
  <si>
    <t>Adjacent (A)</t>
  </si>
  <si>
    <t>Required (R)</t>
  </si>
  <si>
    <t>Medium</t>
  </si>
  <si>
    <t>Fixing</t>
  </si>
  <si>
    <t>Local (L)</t>
  </si>
  <si>
    <t>Low</t>
  </si>
  <si>
    <t>Physical (P)</t>
  </si>
  <si>
    <t>Closed with notes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</si>
</sst>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m&quot;-&quot;yyyy"/>
    <numFmt numFmtId="165" formatCode="d.m"/>
  </numFmts>
  <fonts count="13">
    <font>
      <sz val="10.0"/>
      <color rgb="FF000000"/>
      <name val="Arial"/>
      <scheme val="minor"/>
    </font>
    <font>
      <b/>
      <sz val="11.0"/>
      <color theme="1"/>
      <name val="Times New Roman"/>
    </font>
    <font>
      <sz val="11.0"/>
      <color theme="1"/>
      <name val="Times New Roman"/>
    </font>
    <font>
      <u/>
      <sz val="11.0"/>
      <color rgb="FF467886"/>
      <name val="Times New Roman"/>
    </font>
    <font>
      <sz val="11.0"/>
      <color rgb="FFFFFFFF"/>
      <name val="Times New Roman"/>
    </font>
    <font>
      <sz val="11.0"/>
      <color rgb="FF252525"/>
      <name val="Times New Roman"/>
    </font>
    <font>
      <b/>
      <sz val="11.0"/>
      <color rgb="FF252525"/>
      <name val="Times New Roman"/>
    </font>
    <font>
      <sz val="10.0"/>
      <color theme="1"/>
      <name val="Arial"/>
    </font>
    <font>
      <sz val="11.0"/>
      <color rgb="FF000000"/>
      <name val="Times New Roman"/>
    </font>
    <font>
      <b/>
      <sz val="11.0"/>
      <color theme="1"/>
      <name val="Arial"/>
    </font>
    <font>
      <b/>
      <sz val="10.0"/>
      <color theme="1"/>
      <name val="Arial"/>
    </font>
    <font>
      <sz val="10.0"/>
      <color rgb="FFFFFFFF"/>
      <name val="Arial"/>
    </font>
    <font/>
  </fonts>
  <fills count="9">
    <fill>
      <patternFill patternType="none"/>
    </fill>
    <fill>
      <patternFill patternType="lightGray"/>
    </fill>
    <fill>
      <patternFill patternType="solid">
        <fgColor rgb="FF434343"/>
        <bgColor rgb="FF434343"/>
      </patternFill>
    </fill>
    <fill>
      <patternFill patternType="solid">
        <fgColor rgb="FFF9CB9C"/>
        <bgColor rgb="FFF9CB9C"/>
      </patternFill>
    </fill>
    <fill>
      <patternFill patternType="solid">
        <fgColor rgb="FFB45F06"/>
        <bgColor rgb="FFB45F06"/>
      </patternFill>
    </fill>
    <fill>
      <patternFill patternType="solid">
        <fgColor rgb="FF0000FF"/>
        <bgColor rgb="FF0000FF"/>
      </patternFill>
    </fill>
    <fill>
      <patternFill patternType="solid">
        <fgColor rgb="FFFFFFFF"/>
        <bgColor rgb="FFFFFFFF"/>
      </patternFill>
    </fill>
    <fill>
      <patternFill patternType="solid">
        <fgColor rgb="FF351C75"/>
        <bgColor rgb="FF351C75"/>
      </patternFill>
    </fill>
    <fill>
      <patternFill patternType="solid">
        <fgColor rgb="FF6AA84F"/>
        <bgColor rgb="FF6AA84F"/>
      </patternFill>
    </fill>
  </fills>
  <borders count="17">
    <border/>
    <border>
      <left style="hair">
        <color rgb="FF000000"/>
      </left>
      <right style="hair">
        <color rgb="FF000000"/>
      </right>
      <top style="hair">
        <color rgb="FF000000"/>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right style="thin">
        <color rgb="FF000000"/>
      </right>
      <top style="thin">
        <color rgb="FF000000"/>
      </top>
    </border>
    <border>
      <right style="thin">
        <color rgb="FF000000"/>
      </right>
      <bottom style="thin">
        <color rgb="FF000000"/>
      </bottom>
    </border>
    <border>
      <right style="thin">
        <color rgb="FF000000"/>
      </right>
      <top style="thin">
        <color rgb="FF000000"/>
      </top>
      <bottom style="dotted">
        <color rgb="FF000000"/>
      </bottom>
    </border>
    <border>
      <left style="hair">
        <color rgb="FF000000"/>
      </left>
      <right style="hair">
        <color rgb="FF000000"/>
      </right>
      <top style="hair">
        <color rgb="FF000000"/>
      </top>
      <bottom style="dotted">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2" numFmtId="0" xfId="0" applyFont="1"/>
    <xf borderId="0" fillId="0" fontId="2" numFmtId="0" xfId="0" applyAlignment="1" applyFont="1">
      <alignment horizontal="left"/>
    </xf>
    <xf borderId="0" fillId="0" fontId="2" numFmtId="0" xfId="0" applyFont="1"/>
    <xf borderId="0" fillId="0" fontId="3" numFmtId="0" xfId="0" applyAlignment="1" applyFont="1">
      <alignment readingOrder="0"/>
    </xf>
    <xf borderId="1" fillId="2" fontId="4" numFmtId="0" xfId="0" applyAlignment="1" applyBorder="1" applyFill="1" applyFont="1">
      <alignment horizontal="left"/>
    </xf>
    <xf borderId="1" fillId="2" fontId="4" numFmtId="0" xfId="0" applyBorder="1" applyFont="1"/>
    <xf quotePrefix="1" borderId="2" fillId="3" fontId="5" numFmtId="0" xfId="0" applyAlignment="1" applyBorder="1" applyFill="1" applyFont="1">
      <alignment horizontal="center" readingOrder="0" vertical="center"/>
    </xf>
    <xf borderId="2" fillId="3" fontId="6" numFmtId="0" xfId="0" applyAlignment="1" applyBorder="1" applyFont="1">
      <alignment vertical="center"/>
    </xf>
    <xf borderId="2" fillId="3" fontId="5" numFmtId="0" xfId="0" applyAlignment="1" applyBorder="1" applyFont="1">
      <alignment readingOrder="0" shrinkToFit="0" vertical="center" wrapText="1"/>
    </xf>
    <xf borderId="2" fillId="3" fontId="2" numFmtId="0" xfId="0" applyAlignment="1" applyBorder="1" applyFont="1">
      <alignment readingOrder="0" shrinkToFit="0" vertical="center" wrapText="1"/>
    </xf>
    <xf borderId="2" fillId="3" fontId="2" numFmtId="0" xfId="0" applyAlignment="1" applyBorder="1" applyFont="1">
      <alignment readingOrder="0" shrinkToFit="0" vertical="top" wrapText="1"/>
    </xf>
    <xf borderId="2" fillId="3" fontId="2" numFmtId="164" xfId="0" applyAlignment="1" applyBorder="1" applyFont="1" applyNumberFormat="1">
      <alignment shrinkToFit="0" vertical="top" wrapText="1"/>
    </xf>
    <xf borderId="3" fillId="3" fontId="2" numFmtId="0" xfId="0" applyAlignment="1" applyBorder="1" applyFont="1">
      <alignment horizontal="center" readingOrder="0" shrinkToFit="0" vertical="center" wrapText="1"/>
    </xf>
    <xf borderId="2" fillId="3" fontId="2" numFmtId="0" xfId="0" applyAlignment="1" applyBorder="1" applyFont="1">
      <alignment horizontal="center" readingOrder="0" vertical="center"/>
    </xf>
    <xf borderId="0" fillId="0" fontId="2" numFmtId="0" xfId="0" applyAlignment="1" applyFont="1">
      <alignment vertical="top"/>
    </xf>
    <xf borderId="0" fillId="0" fontId="7" numFmtId="0" xfId="0" applyAlignment="1" applyFont="1">
      <alignment vertical="top"/>
    </xf>
    <xf borderId="2" fillId="3" fontId="6" numFmtId="0" xfId="0" applyAlignment="1" applyBorder="1" applyFont="1">
      <alignment readingOrder="0" vertical="center"/>
    </xf>
    <xf borderId="0" fillId="3" fontId="8" numFmtId="0" xfId="0" applyAlignment="1" applyFont="1">
      <alignment horizontal="left" readingOrder="0" shrinkToFit="0" vertical="center" wrapText="1"/>
    </xf>
    <xf borderId="4" fillId="3" fontId="8" numFmtId="0" xfId="0" applyAlignment="1" applyBorder="1" applyFont="1">
      <alignment readingOrder="0" vertical="center"/>
    </xf>
    <xf borderId="0" fillId="3" fontId="8" numFmtId="0" xfId="0" applyAlignment="1" applyFont="1">
      <alignment horizontal="left" readingOrder="0" vertical="center"/>
    </xf>
    <xf borderId="0" fillId="3" fontId="2" numFmtId="0" xfId="0" applyAlignment="1" applyFont="1">
      <alignment readingOrder="0" shrinkToFit="0" vertical="center" wrapText="1"/>
    </xf>
    <xf borderId="2" fillId="3" fontId="6" numFmtId="0" xfId="0" applyAlignment="1" applyBorder="1" applyFont="1">
      <alignment readingOrder="0" shrinkToFit="0" vertical="center" wrapText="1"/>
    </xf>
    <xf borderId="2" fillId="3" fontId="2" numFmtId="0" xfId="0" applyAlignment="1" applyBorder="1" applyFont="1">
      <alignment readingOrder="0" shrinkToFit="0" vertical="top" wrapText="1"/>
    </xf>
    <xf borderId="0" fillId="0" fontId="7" numFmtId="0" xfId="0" applyAlignment="1" applyFont="1">
      <alignment horizontal="left"/>
    </xf>
    <xf borderId="0" fillId="0" fontId="9" numFmtId="0" xfId="0" applyFont="1"/>
    <xf borderId="5" fillId="4" fontId="4" numFmtId="0" xfId="0" applyBorder="1" applyFill="1" applyFont="1"/>
    <xf borderId="5" fillId="0" fontId="2" numFmtId="0" xfId="0" applyAlignment="1" applyBorder="1" applyFont="1">
      <alignment shrinkToFit="0" vertical="top" wrapText="1"/>
    </xf>
    <xf borderId="5" fillId="3" fontId="2" numFmtId="0" xfId="0" applyAlignment="1" applyBorder="1" applyFont="1">
      <alignment readingOrder="0" shrinkToFit="0" vertical="center" wrapText="1"/>
    </xf>
    <xf borderId="5" fillId="3" fontId="2" numFmtId="0" xfId="0" applyAlignment="1" applyBorder="1" applyFont="1">
      <alignment shrinkToFit="0" vertical="top" wrapText="1"/>
    </xf>
    <xf borderId="6" fillId="3" fontId="2" numFmtId="0" xfId="0" applyAlignment="1" applyBorder="1" applyFont="1">
      <alignment readingOrder="0" shrinkToFit="0" vertical="center" wrapText="1"/>
    </xf>
    <xf borderId="6" fillId="3" fontId="2" numFmtId="0" xfId="0" applyAlignment="1" applyBorder="1" applyFont="1">
      <alignment readingOrder="0" shrinkToFit="0" vertical="top" wrapText="1"/>
    </xf>
    <xf borderId="6" fillId="3" fontId="2" numFmtId="0" xfId="0" applyAlignment="1" applyBorder="1" applyFont="1">
      <alignment shrinkToFit="0" vertical="top" wrapText="1"/>
    </xf>
    <xf borderId="0" fillId="0" fontId="10" numFmtId="0" xfId="0" applyAlignment="1" applyFont="1">
      <alignment shrinkToFit="0" vertical="top" wrapText="1"/>
    </xf>
    <xf borderId="0" fillId="0" fontId="7" numFmtId="0" xfId="0" applyFont="1"/>
    <xf borderId="7" fillId="5" fontId="4" numFmtId="0" xfId="0" applyAlignment="1" applyBorder="1" applyFill="1" applyFont="1">
      <alignment shrinkToFit="0" vertical="top" wrapText="1"/>
    </xf>
    <xf borderId="0" fillId="0" fontId="7" numFmtId="0" xfId="0" applyAlignment="1" applyFont="1">
      <alignment shrinkToFit="0" vertical="top" wrapText="1"/>
    </xf>
    <xf borderId="0" fillId="6" fontId="8" numFmtId="0" xfId="0" applyAlignment="1" applyFill="1" applyFont="1">
      <alignment horizontal="center" readingOrder="0" vertical="center"/>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top" wrapText="1"/>
    </xf>
    <xf borderId="2" fillId="6" fontId="8" numFmtId="0" xfId="0" applyBorder="1" applyFont="1"/>
    <xf borderId="2" fillId="0" fontId="2" numFmtId="0" xfId="0" applyAlignment="1" applyBorder="1" applyFont="1">
      <alignment horizontal="right" shrinkToFit="0" vertical="bottom" wrapText="1"/>
    </xf>
    <xf borderId="3" fillId="0" fontId="2" numFmtId="0" xfId="0" applyAlignment="1" applyBorder="1" applyFont="1">
      <alignment readingOrder="0" shrinkToFit="0" vertical="top" wrapText="1"/>
    </xf>
    <xf borderId="3" fillId="6" fontId="2" numFmtId="0" xfId="0" applyAlignment="1" applyBorder="1" applyFont="1">
      <alignment horizontal="center" readingOrder="0" shrinkToFit="0" vertical="center" wrapText="1"/>
    </xf>
    <xf borderId="2" fillId="6" fontId="8" numFmtId="0" xfId="0" applyAlignment="1" applyBorder="1" applyFont="1">
      <alignment horizontal="right" readingOrder="0"/>
    </xf>
    <xf borderId="2" fillId="0" fontId="2" numFmtId="0" xfId="0" applyAlignment="1" applyBorder="1" applyFont="1">
      <alignment horizontal="right" readingOrder="0" shrinkToFit="0" vertical="bottom" wrapText="1"/>
    </xf>
    <xf borderId="3" fillId="0" fontId="2" numFmtId="0" xfId="0" applyAlignment="1" applyBorder="1" applyFont="1">
      <alignment readingOrder="0" shrinkToFit="0" vertical="center" wrapText="1"/>
    </xf>
    <xf borderId="2" fillId="6" fontId="8" numFmtId="165" xfId="0" applyAlignment="1" applyBorder="1" applyFont="1" applyNumberFormat="1">
      <alignment readingOrder="0"/>
    </xf>
    <xf borderId="0" fillId="0" fontId="9" numFmtId="0" xfId="0" applyAlignment="1" applyFont="1">
      <alignment vertical="top"/>
    </xf>
    <xf borderId="8" fillId="7" fontId="11" numFmtId="0" xfId="0" applyAlignment="1" applyBorder="1" applyFill="1" applyFont="1">
      <alignment vertical="top"/>
    </xf>
    <xf borderId="9" fillId="0" fontId="7" numFmtId="0" xfId="0" applyAlignment="1" applyBorder="1" applyFont="1">
      <alignment readingOrder="0" vertical="center"/>
    </xf>
    <xf borderId="8" fillId="0" fontId="7" numFmtId="0" xfId="0" applyAlignment="1" applyBorder="1" applyFont="1">
      <alignment horizontal="center" vertical="center"/>
    </xf>
    <xf borderId="9" fillId="0" fontId="7" numFmtId="0" xfId="0" applyAlignment="1" applyBorder="1" applyFont="1">
      <alignment horizontal="center" vertical="center"/>
    </xf>
    <xf borderId="10" fillId="0" fontId="12" numFmtId="0" xfId="0" applyBorder="1" applyFont="1"/>
    <xf borderId="8" fillId="0" fontId="7" numFmtId="0" xfId="0" applyAlignment="1" applyBorder="1" applyFont="1">
      <alignment readingOrder="0" shrinkToFit="0" vertical="top" wrapText="1"/>
    </xf>
    <xf borderId="11" fillId="0" fontId="7" numFmtId="0" xfId="0" applyAlignment="1" applyBorder="1" applyFont="1">
      <alignment readingOrder="0" vertical="top"/>
    </xf>
    <xf borderId="5" fillId="0" fontId="7" numFmtId="0" xfId="0" applyAlignment="1" applyBorder="1" applyFont="1">
      <alignment readingOrder="0" vertical="top"/>
    </xf>
    <xf borderId="12" fillId="0" fontId="7" numFmtId="0" xfId="0" applyAlignment="1" applyBorder="1" applyFont="1">
      <alignment vertical="top"/>
    </xf>
    <xf borderId="8" fillId="0" fontId="7" numFmtId="0" xfId="0" applyAlignment="1" applyBorder="1" applyFont="1">
      <alignment vertical="top"/>
    </xf>
    <xf borderId="10" fillId="0" fontId="7" numFmtId="0" xfId="0" applyAlignment="1" applyBorder="1" applyFont="1">
      <alignment horizontal="center" vertical="center"/>
    </xf>
    <xf borderId="8" fillId="0" fontId="7" numFmtId="0" xfId="0" applyAlignment="1" applyBorder="1" applyFont="1">
      <alignment readingOrder="0" vertical="top"/>
    </xf>
    <xf borderId="8" fillId="0" fontId="10" numFmtId="0" xfId="0" applyAlignment="1" applyBorder="1" applyFont="1">
      <alignment horizontal="center" vertical="center"/>
    </xf>
    <xf borderId="13" fillId="6" fontId="2" numFmtId="0" xfId="0" applyAlignment="1" applyBorder="1" applyFont="1">
      <alignment horizontal="left" readingOrder="0" shrinkToFit="0" vertical="center" wrapText="1"/>
    </xf>
    <xf borderId="14" fillId="0" fontId="12" numFmtId="0" xfId="0" applyBorder="1" applyFont="1"/>
    <xf borderId="15" fillId="6" fontId="2" numFmtId="0" xfId="0" applyAlignment="1" applyBorder="1" applyFont="1">
      <alignment horizontal="left" readingOrder="0" shrinkToFit="0" vertical="center" wrapText="1"/>
    </xf>
    <xf borderId="16" fillId="0" fontId="7" numFmtId="0" xfId="0" applyAlignment="1" applyBorder="1" applyFont="1">
      <alignment vertical="top"/>
    </xf>
    <xf borderId="5" fillId="0" fontId="7" numFmtId="0" xfId="0" applyAlignment="1" applyBorder="1" applyFont="1">
      <alignment vertical="top"/>
    </xf>
    <xf borderId="5" fillId="0" fontId="7" numFmtId="0" xfId="0" applyAlignment="1" applyBorder="1" applyFont="1">
      <alignment readingOrder="0" shrinkToFit="0" vertical="top" wrapText="1"/>
    </xf>
    <xf borderId="5" fillId="8" fontId="11" numFmtId="0" xfId="0" applyAlignment="1" applyBorder="1" applyFill="1" applyFont="1">
      <alignment shrinkToFit="0" vertical="top" wrapText="1"/>
    </xf>
    <xf borderId="0" fillId="0" fontId="7" numFmtId="0" xfId="0" applyAlignment="1" applyFont="1">
      <alignment shrinkToFit="0" vertical="center" wrapText="1"/>
    </xf>
    <xf borderId="5"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10.jpg"/><Relationship Id="rId13" Type="http://schemas.openxmlformats.org/officeDocument/2006/relationships/image" Target="../media/image13.png"/><Relationship Id="rId12" Type="http://schemas.openxmlformats.org/officeDocument/2006/relationships/image" Target="../media/image11.png"/><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g"/><Relationship Id="rId9" Type="http://schemas.openxmlformats.org/officeDocument/2006/relationships/image" Target="../media/image9.png"/><Relationship Id="rId15" Type="http://schemas.openxmlformats.org/officeDocument/2006/relationships/image" Target="../media/image15.png"/><Relationship Id="rId14" Type="http://schemas.openxmlformats.org/officeDocument/2006/relationships/image" Target="../media/image14.png"/><Relationship Id="rId5" Type="http://schemas.openxmlformats.org/officeDocument/2006/relationships/image" Target="../media/image6.png"/><Relationship Id="rId6" Type="http://schemas.openxmlformats.org/officeDocument/2006/relationships/image" Target="../media/image5.png"/><Relationship Id="rId7" Type="http://schemas.openxmlformats.org/officeDocument/2006/relationships/image" Target="../media/image7.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3</xdr:row>
      <xdr:rowOff>-28575</xdr:rowOff>
    </xdr:from>
    <xdr:ext cx="3790950" cy="2838450"/>
    <xdr:pic>
      <xdr:nvPicPr>
        <xdr:cNvPr id="0" name="image1.jp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xdr:colOff>
      <xdr:row>3</xdr:row>
      <xdr:rowOff>-9525</xdr:rowOff>
    </xdr:from>
    <xdr:ext cx="3800475" cy="283845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3819525</xdr:colOff>
      <xdr:row>4</xdr:row>
      <xdr:rowOff>666750</xdr:rowOff>
    </xdr:from>
    <xdr:ext cx="3800475" cy="2838450"/>
    <xdr:pic>
      <xdr:nvPicPr>
        <xdr:cNvPr id="0" name="image3.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4</xdr:row>
      <xdr:rowOff>619125</xdr:rowOff>
    </xdr:from>
    <xdr:ext cx="3800475" cy="2838450"/>
    <xdr:pic>
      <xdr:nvPicPr>
        <xdr:cNvPr id="0" name="image4.jp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9525</xdr:colOff>
      <xdr:row>4</xdr:row>
      <xdr:rowOff>666750</xdr:rowOff>
    </xdr:from>
    <xdr:ext cx="3800475" cy="2838450"/>
    <xdr:pic>
      <xdr:nvPicPr>
        <xdr:cNvPr id="0" name="image6.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3810000</xdr:colOff>
      <xdr:row>4</xdr:row>
      <xdr:rowOff>666750</xdr:rowOff>
    </xdr:from>
    <xdr:ext cx="3857625" cy="2838450"/>
    <xdr:pic>
      <xdr:nvPicPr>
        <xdr:cNvPr id="0" name="image5.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38100</xdr:colOff>
      <xdr:row>4</xdr:row>
      <xdr:rowOff>666750</xdr:rowOff>
    </xdr:from>
    <xdr:ext cx="3800475" cy="2838450"/>
    <xdr:pic>
      <xdr:nvPicPr>
        <xdr:cNvPr id="0" name="image7.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38100</xdr:colOff>
      <xdr:row>3</xdr:row>
      <xdr:rowOff>9525</xdr:rowOff>
    </xdr:from>
    <xdr:ext cx="3800475" cy="2838450"/>
    <xdr:pic>
      <xdr:nvPicPr>
        <xdr:cNvPr id="0" name="image8.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-9525</xdr:colOff>
      <xdr:row>8</xdr:row>
      <xdr:rowOff>314325</xdr:rowOff>
    </xdr:from>
    <xdr:ext cx="3790950" cy="2886075"/>
    <xdr:pic>
      <xdr:nvPicPr>
        <xdr:cNvPr id="0" name="image9.png" title="Gambar"/>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9525</xdr:colOff>
      <xdr:row>6</xdr:row>
      <xdr:rowOff>314325</xdr:rowOff>
    </xdr:from>
    <xdr:ext cx="3800475" cy="2838450"/>
    <xdr:pic>
      <xdr:nvPicPr>
        <xdr:cNvPr id="0" name="image10.jpg" title="Gambar"/>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-9525</xdr:colOff>
      <xdr:row>6</xdr:row>
      <xdr:rowOff>266700</xdr:rowOff>
    </xdr:from>
    <xdr:ext cx="3790950" cy="2838450"/>
    <xdr:pic>
      <xdr:nvPicPr>
        <xdr:cNvPr id="0" name="image12.png" title="Gambar"/>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3819525</xdr:colOff>
      <xdr:row>9</xdr:row>
      <xdr:rowOff>9525</xdr:rowOff>
    </xdr:from>
    <xdr:ext cx="3790950" cy="2886075"/>
    <xdr:pic>
      <xdr:nvPicPr>
        <xdr:cNvPr id="0" name="image11.png" title="Gambar"/>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3829050</xdr:colOff>
      <xdr:row>9</xdr:row>
      <xdr:rowOff>38100</xdr:rowOff>
    </xdr:from>
    <xdr:ext cx="3800475" cy="2886075"/>
    <xdr:pic>
      <xdr:nvPicPr>
        <xdr:cNvPr id="0" name="image13.png" title="Gambar"/>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3819525</xdr:colOff>
      <xdr:row>11</xdr:row>
      <xdr:rowOff>9525</xdr:rowOff>
    </xdr:from>
    <xdr:ext cx="3800475" cy="2638425"/>
    <xdr:pic>
      <xdr:nvPicPr>
        <xdr:cNvPr id="0" name="image14.png" title="Gambar"/>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2590800</xdr:colOff>
      <xdr:row>11</xdr:row>
      <xdr:rowOff>19050</xdr:rowOff>
    </xdr:from>
    <xdr:ext cx="3857625" cy="2638425"/>
    <xdr:pic>
      <xdr:nvPicPr>
        <xdr:cNvPr id="0" name="image15.png" title="Gambar"/>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wasp.org/index.php/OWASP_Testing_Guide_v4_Table_of_Conten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17.0"/>
    <col customWidth="1" min="2" max="2" width="23.13"/>
    <col customWidth="1" min="3" max="3" width="27.0"/>
    <col customWidth="1" min="4" max="4" width="32.75"/>
    <col customWidth="1" min="5" max="5" width="67.0"/>
    <col customWidth="1" min="6" max="6" width="19.0"/>
    <col customWidth="1" min="7" max="7" width="11.38"/>
    <col customWidth="1" min="8" max="8" width="8.75"/>
    <col customWidth="1" min="9" max="9" width="14.38"/>
    <col customWidth="1" min="10" max="10" width="26.63"/>
  </cols>
  <sheetData>
    <row r="1" ht="15.75" customHeight="1">
      <c r="A1" s="1" t="s">
        <v>0</v>
      </c>
      <c r="B1" s="2"/>
      <c r="C1" s="3"/>
      <c r="D1" s="3"/>
      <c r="E1" s="3"/>
      <c r="F1" s="3"/>
      <c r="G1" s="3"/>
      <c r="H1" s="3"/>
      <c r="I1" s="3"/>
      <c r="J1" s="3"/>
      <c r="K1" s="3"/>
    </row>
    <row r="2" ht="15.75" customHeight="1">
      <c r="A2" s="4"/>
      <c r="B2" s="5" t="s">
        <v>1</v>
      </c>
      <c r="C2" s="6" t="s">
        <v>2</v>
      </c>
      <c r="D2" s="3"/>
      <c r="E2" s="3"/>
      <c r="F2" s="3"/>
      <c r="G2" s="3"/>
      <c r="H2" s="3"/>
      <c r="I2" s="3"/>
      <c r="J2" s="3"/>
      <c r="K2" s="3"/>
    </row>
    <row r="3" ht="24.0" customHeight="1">
      <c r="A3" s="7" t="s">
        <v>3</v>
      </c>
      <c r="B3" s="8" t="s">
        <v>4</v>
      </c>
      <c r="C3" s="8" t="s">
        <v>5</v>
      </c>
      <c r="D3" s="8" t="s">
        <v>6</v>
      </c>
      <c r="E3" s="8" t="s">
        <v>7</v>
      </c>
      <c r="F3" s="8" t="s">
        <v>8</v>
      </c>
      <c r="G3" s="8" t="s">
        <v>9</v>
      </c>
      <c r="H3" s="8" t="s">
        <v>10</v>
      </c>
      <c r="I3" s="8" t="s">
        <v>11</v>
      </c>
      <c r="J3" s="8" t="s">
        <v>12</v>
      </c>
      <c r="K3" s="3"/>
    </row>
    <row r="4" ht="70.5" customHeight="1">
      <c r="A4" s="9" t="s">
        <v>13</v>
      </c>
      <c r="B4" s="10" t="s">
        <v>14</v>
      </c>
      <c r="C4" s="11" t="s">
        <v>15</v>
      </c>
      <c r="D4" s="12" t="s">
        <v>16</v>
      </c>
      <c r="E4" s="13" t="s">
        <v>17</v>
      </c>
      <c r="F4" s="13" t="s">
        <v>18</v>
      </c>
      <c r="G4" s="14"/>
      <c r="H4" s="13" t="s">
        <v>19</v>
      </c>
      <c r="I4" s="15" t="s">
        <v>20</v>
      </c>
      <c r="J4" s="16" t="s">
        <v>21</v>
      </c>
      <c r="K4" s="17"/>
      <c r="L4" s="18"/>
      <c r="M4" s="18"/>
      <c r="N4" s="18"/>
      <c r="O4" s="18"/>
      <c r="P4" s="18"/>
      <c r="Q4" s="18"/>
      <c r="R4" s="18"/>
      <c r="S4" s="18"/>
      <c r="T4" s="18"/>
      <c r="U4" s="18"/>
      <c r="V4" s="18"/>
      <c r="W4" s="18"/>
      <c r="X4" s="18"/>
      <c r="Y4" s="18"/>
      <c r="Z4" s="18"/>
      <c r="AA4" s="18"/>
      <c r="AB4" s="18"/>
    </row>
    <row r="5" ht="69.0" customHeight="1">
      <c r="A5" s="9" t="s">
        <v>22</v>
      </c>
      <c r="B5" s="19" t="s">
        <v>14</v>
      </c>
      <c r="C5" s="20" t="s">
        <v>23</v>
      </c>
      <c r="D5" s="13" t="s">
        <v>24</v>
      </c>
      <c r="E5" s="13" t="s">
        <v>25</v>
      </c>
      <c r="F5" s="13" t="s">
        <v>26</v>
      </c>
      <c r="G5" s="14"/>
      <c r="H5" s="13" t="s">
        <v>19</v>
      </c>
      <c r="I5" s="21" t="s">
        <v>27</v>
      </c>
      <c r="J5" s="16" t="s">
        <v>21</v>
      </c>
      <c r="K5" s="17"/>
      <c r="L5" s="18"/>
      <c r="M5" s="18"/>
      <c r="N5" s="18"/>
      <c r="O5" s="18"/>
      <c r="P5" s="18"/>
      <c r="Q5" s="18"/>
      <c r="R5" s="18"/>
      <c r="S5" s="18"/>
      <c r="T5" s="18"/>
      <c r="U5" s="18"/>
      <c r="V5" s="18"/>
      <c r="W5" s="18"/>
      <c r="X5" s="18"/>
      <c r="Y5" s="18"/>
      <c r="Z5" s="18"/>
      <c r="AA5" s="18"/>
      <c r="AB5" s="18"/>
    </row>
    <row r="6" ht="56.25" customHeight="1">
      <c r="A6" s="9" t="s">
        <v>28</v>
      </c>
      <c r="B6" s="19" t="s">
        <v>29</v>
      </c>
      <c r="C6" s="11" t="s">
        <v>30</v>
      </c>
      <c r="D6" s="13" t="s">
        <v>24</v>
      </c>
      <c r="E6" s="13" t="s">
        <v>31</v>
      </c>
      <c r="F6" s="13" t="s">
        <v>32</v>
      </c>
      <c r="G6" s="14"/>
      <c r="H6" s="13" t="s">
        <v>33</v>
      </c>
      <c r="I6" s="22" t="s">
        <v>34</v>
      </c>
      <c r="J6" s="16" t="s">
        <v>21</v>
      </c>
      <c r="K6" s="17"/>
      <c r="L6" s="18"/>
      <c r="M6" s="18"/>
      <c r="N6" s="18"/>
      <c r="O6" s="18"/>
      <c r="P6" s="18"/>
      <c r="Q6" s="18"/>
      <c r="R6" s="18"/>
      <c r="S6" s="18"/>
      <c r="T6" s="18"/>
      <c r="U6" s="18"/>
      <c r="V6" s="18"/>
      <c r="W6" s="18"/>
      <c r="X6" s="18"/>
      <c r="Y6" s="18"/>
      <c r="Z6" s="18"/>
      <c r="AA6" s="18"/>
      <c r="AB6" s="18"/>
    </row>
    <row r="7" ht="60.0" customHeight="1">
      <c r="A7" s="9" t="s">
        <v>35</v>
      </c>
      <c r="B7" s="19" t="s">
        <v>14</v>
      </c>
      <c r="C7" s="23" t="s">
        <v>36</v>
      </c>
      <c r="D7" s="13" t="s">
        <v>24</v>
      </c>
      <c r="E7" s="13" t="s">
        <v>37</v>
      </c>
      <c r="F7" s="13" t="s">
        <v>38</v>
      </c>
      <c r="G7" s="14"/>
      <c r="H7" s="13" t="s">
        <v>33</v>
      </c>
      <c r="I7" s="15" t="s">
        <v>39</v>
      </c>
      <c r="J7" s="16" t="s">
        <v>21</v>
      </c>
      <c r="K7" s="17"/>
      <c r="L7" s="18"/>
      <c r="M7" s="18"/>
      <c r="N7" s="18"/>
      <c r="O7" s="18"/>
      <c r="P7" s="18"/>
      <c r="Q7" s="18"/>
      <c r="R7" s="18"/>
      <c r="S7" s="18"/>
      <c r="T7" s="18"/>
      <c r="U7" s="18"/>
      <c r="V7" s="18"/>
      <c r="W7" s="18"/>
      <c r="X7" s="18"/>
      <c r="Y7" s="18"/>
      <c r="Z7" s="18"/>
      <c r="AA7" s="18"/>
      <c r="AB7" s="18"/>
    </row>
    <row r="8" ht="104.25" customHeight="1">
      <c r="A8" s="9" t="s">
        <v>40</v>
      </c>
      <c r="B8" s="19" t="s">
        <v>41</v>
      </c>
      <c r="C8" s="11" t="s">
        <v>42</v>
      </c>
      <c r="D8" s="13" t="s">
        <v>43</v>
      </c>
      <c r="E8" s="13" t="s">
        <v>44</v>
      </c>
      <c r="F8" s="13" t="s">
        <v>45</v>
      </c>
      <c r="G8" s="14"/>
      <c r="H8" s="13" t="s">
        <v>33</v>
      </c>
      <c r="I8" s="15" t="s">
        <v>46</v>
      </c>
      <c r="J8" s="16" t="s">
        <v>21</v>
      </c>
      <c r="K8" s="17"/>
      <c r="L8" s="18"/>
      <c r="M8" s="18"/>
      <c r="N8" s="18"/>
      <c r="O8" s="18"/>
      <c r="P8" s="18"/>
      <c r="Q8" s="18"/>
      <c r="R8" s="18"/>
      <c r="S8" s="18"/>
      <c r="T8" s="18"/>
      <c r="U8" s="18"/>
      <c r="V8" s="18"/>
      <c r="W8" s="18"/>
      <c r="X8" s="18"/>
      <c r="Y8" s="18"/>
      <c r="Z8" s="18"/>
      <c r="AA8" s="18"/>
      <c r="AB8" s="18"/>
    </row>
    <row r="9" ht="96.75" customHeight="1">
      <c r="A9" s="9" t="s">
        <v>47</v>
      </c>
      <c r="B9" s="24" t="s">
        <v>48</v>
      </c>
      <c r="C9" s="11" t="s">
        <v>49</v>
      </c>
      <c r="D9" s="13" t="s">
        <v>50</v>
      </c>
      <c r="E9" s="13" t="s">
        <v>51</v>
      </c>
      <c r="F9" s="13" t="s">
        <v>52</v>
      </c>
      <c r="G9" s="14"/>
      <c r="H9" s="13" t="s">
        <v>33</v>
      </c>
      <c r="I9" s="15" t="s">
        <v>53</v>
      </c>
      <c r="J9" s="16" t="s">
        <v>21</v>
      </c>
      <c r="K9" s="17"/>
      <c r="L9" s="18"/>
      <c r="M9" s="18"/>
      <c r="N9" s="18"/>
      <c r="O9" s="18"/>
      <c r="P9" s="18"/>
      <c r="Q9" s="18"/>
      <c r="R9" s="18"/>
      <c r="S9" s="18"/>
      <c r="T9" s="18"/>
      <c r="U9" s="18"/>
      <c r="V9" s="18"/>
      <c r="W9" s="18"/>
      <c r="X9" s="18"/>
      <c r="Y9" s="18"/>
      <c r="Z9" s="18"/>
      <c r="AA9" s="18"/>
      <c r="AB9" s="18"/>
    </row>
    <row r="10" ht="156.0" customHeight="1">
      <c r="A10" s="9" t="s">
        <v>54</v>
      </c>
      <c r="B10" s="24" t="s">
        <v>55</v>
      </c>
      <c r="C10" s="11" t="s">
        <v>30</v>
      </c>
      <c r="D10" s="13" t="s">
        <v>56</v>
      </c>
      <c r="E10" s="13" t="s">
        <v>57</v>
      </c>
      <c r="F10" s="13" t="s">
        <v>58</v>
      </c>
      <c r="G10" s="14"/>
      <c r="H10" s="13" t="s">
        <v>33</v>
      </c>
      <c r="I10" s="15" t="s">
        <v>59</v>
      </c>
      <c r="J10" s="16" t="s">
        <v>21</v>
      </c>
      <c r="K10" s="17"/>
      <c r="L10" s="18"/>
      <c r="M10" s="18"/>
      <c r="N10" s="18"/>
      <c r="O10" s="18"/>
      <c r="P10" s="18"/>
      <c r="Q10" s="18"/>
      <c r="R10" s="18"/>
      <c r="S10" s="18"/>
      <c r="T10" s="18"/>
      <c r="U10" s="18"/>
      <c r="V10" s="18"/>
      <c r="W10" s="18"/>
      <c r="X10" s="18"/>
      <c r="Y10" s="18"/>
      <c r="Z10" s="18"/>
      <c r="AA10" s="18"/>
      <c r="AB10" s="18"/>
    </row>
    <row r="11" ht="114.75" customHeight="1">
      <c r="A11" s="9" t="s">
        <v>60</v>
      </c>
      <c r="B11" s="24" t="s">
        <v>61</v>
      </c>
      <c r="C11" s="11" t="s">
        <v>61</v>
      </c>
      <c r="D11" s="13" t="s">
        <v>62</v>
      </c>
      <c r="E11" s="25" t="s">
        <v>63</v>
      </c>
      <c r="F11" s="13" t="s">
        <v>64</v>
      </c>
      <c r="G11" s="14"/>
      <c r="H11" s="13" t="s">
        <v>33</v>
      </c>
      <c r="I11" s="15" t="s">
        <v>65</v>
      </c>
      <c r="J11" s="16" t="s">
        <v>21</v>
      </c>
      <c r="K11" s="17"/>
      <c r="L11" s="18"/>
      <c r="M11" s="18"/>
      <c r="N11" s="18"/>
      <c r="O11" s="18"/>
      <c r="P11" s="18"/>
      <c r="Q11" s="18"/>
      <c r="R11" s="18"/>
      <c r="S11" s="18"/>
      <c r="T11" s="18"/>
      <c r="U11" s="18"/>
      <c r="V11" s="18"/>
      <c r="W11" s="18"/>
      <c r="X11" s="18"/>
      <c r="Y11" s="18"/>
      <c r="Z11" s="18"/>
      <c r="AA11" s="18"/>
      <c r="AB11" s="18"/>
    </row>
    <row r="12" ht="15.75" customHeight="1">
      <c r="A12" s="26"/>
    </row>
    <row r="13" ht="15.75" customHeight="1">
      <c r="A13" s="26"/>
    </row>
    <row r="14" ht="15.75" customHeight="1">
      <c r="A14" s="26"/>
    </row>
    <row r="15" ht="15.75" customHeight="1">
      <c r="A15" s="26"/>
    </row>
    <row r="16" ht="15.75" customHeight="1">
      <c r="A16" s="26"/>
    </row>
    <row r="17" ht="15.75" customHeight="1">
      <c r="A17" s="26"/>
    </row>
    <row r="18" ht="15.75" customHeight="1">
      <c r="A18" s="26"/>
    </row>
    <row r="19" ht="15.75" customHeight="1">
      <c r="A19" s="26"/>
    </row>
    <row r="20" ht="15.75" customHeight="1">
      <c r="A20" s="26"/>
    </row>
    <row r="21" ht="15.75" customHeight="1">
      <c r="A21" s="26"/>
    </row>
    <row r="22" ht="15.75" customHeight="1">
      <c r="A22" s="26"/>
    </row>
    <row r="23" ht="15.75" customHeight="1">
      <c r="A23" s="26"/>
    </row>
    <row r="24" ht="15.75" customHeight="1">
      <c r="A24" s="26"/>
    </row>
    <row r="25" ht="15.75" customHeight="1">
      <c r="A25" s="26"/>
    </row>
    <row r="26" ht="15.75" customHeight="1">
      <c r="A26" s="26"/>
    </row>
    <row r="27" ht="15.75" customHeight="1">
      <c r="A27" s="26"/>
    </row>
    <row r="28" ht="15.75" customHeight="1">
      <c r="A28" s="26"/>
    </row>
    <row r="29" ht="15.75" customHeight="1">
      <c r="A29" s="26"/>
    </row>
    <row r="30" ht="15.75" customHeight="1">
      <c r="A30" s="26"/>
    </row>
    <row r="31" ht="15.75" customHeight="1">
      <c r="A31" s="26"/>
    </row>
    <row r="32" ht="15.75" customHeight="1">
      <c r="A32" s="26"/>
    </row>
    <row r="33" ht="15.75" customHeight="1">
      <c r="A33" s="26"/>
    </row>
    <row r="34" ht="15.75" customHeight="1">
      <c r="A34" s="26"/>
    </row>
    <row r="35" ht="15.75" customHeight="1">
      <c r="A35" s="26"/>
    </row>
    <row r="36" ht="15.75" customHeight="1">
      <c r="A36" s="26"/>
    </row>
    <row r="37" ht="15.75" customHeight="1">
      <c r="A37" s="26"/>
    </row>
    <row r="38" ht="15.75" customHeight="1">
      <c r="A38" s="26"/>
    </row>
    <row r="39" ht="15.75" customHeight="1">
      <c r="A39" s="26"/>
    </row>
    <row r="40" ht="15.75" customHeight="1">
      <c r="A40" s="26"/>
    </row>
    <row r="41" ht="15.75" customHeight="1">
      <c r="A41" s="26"/>
    </row>
    <row r="42" ht="15.75" customHeight="1">
      <c r="A42" s="26"/>
    </row>
    <row r="43" ht="15.75" customHeight="1">
      <c r="A43" s="26"/>
    </row>
    <row r="44" ht="15.75" customHeight="1">
      <c r="A44" s="26"/>
    </row>
    <row r="45" ht="15.75" customHeight="1">
      <c r="A45" s="26"/>
    </row>
    <row r="46" ht="15.75" customHeight="1">
      <c r="A46" s="26"/>
    </row>
    <row r="47" ht="15.75" customHeight="1">
      <c r="A47" s="26"/>
    </row>
    <row r="48" ht="15.75" customHeight="1">
      <c r="A48" s="26"/>
    </row>
    <row r="49" ht="15.75" customHeight="1">
      <c r="A49" s="26"/>
    </row>
    <row r="50" ht="15.75" customHeight="1">
      <c r="A50" s="26"/>
    </row>
    <row r="51" ht="15.75" customHeight="1">
      <c r="A51" s="26"/>
    </row>
    <row r="52" ht="15.75" customHeight="1">
      <c r="A52" s="26"/>
    </row>
    <row r="53" ht="15.75" customHeight="1">
      <c r="A53" s="26"/>
    </row>
    <row r="54" ht="15.75" customHeight="1">
      <c r="A54" s="26"/>
    </row>
    <row r="55" ht="15.75" customHeight="1">
      <c r="A55" s="26"/>
    </row>
    <row r="56" ht="15.75" customHeight="1">
      <c r="A56" s="26"/>
    </row>
    <row r="57" ht="15.75" customHeight="1">
      <c r="A57" s="26"/>
    </row>
    <row r="58" ht="15.75" customHeight="1">
      <c r="A58" s="26"/>
    </row>
    <row r="59" ht="15.75" customHeight="1">
      <c r="A59" s="26"/>
    </row>
    <row r="60" ht="15.75" customHeight="1">
      <c r="A60" s="26"/>
    </row>
    <row r="61" ht="15.75" customHeight="1">
      <c r="A61" s="26"/>
    </row>
    <row r="62" ht="15.75" customHeight="1">
      <c r="A62" s="26"/>
    </row>
    <row r="63" ht="15.75" customHeight="1">
      <c r="A63" s="26"/>
    </row>
    <row r="64" ht="15.75" customHeight="1">
      <c r="A64" s="26"/>
    </row>
    <row r="65" ht="15.75" customHeight="1">
      <c r="A65" s="26"/>
    </row>
    <row r="66" ht="15.75" customHeight="1">
      <c r="A66" s="26"/>
    </row>
    <row r="67" ht="15.75" customHeight="1">
      <c r="A67" s="26"/>
    </row>
    <row r="68" ht="15.75" customHeight="1">
      <c r="A68" s="26"/>
    </row>
    <row r="69" ht="15.75" customHeight="1">
      <c r="A69" s="26"/>
    </row>
    <row r="70" ht="15.75" customHeight="1">
      <c r="A70" s="26"/>
    </row>
    <row r="71" ht="15.75" customHeight="1">
      <c r="A71" s="26"/>
    </row>
    <row r="72" ht="15.75" customHeight="1">
      <c r="A72" s="26"/>
    </row>
    <row r="73" ht="15.75" customHeight="1">
      <c r="A73" s="26"/>
    </row>
    <row r="74" ht="15.75" customHeight="1">
      <c r="A74" s="26"/>
    </row>
    <row r="75" ht="15.75" customHeight="1">
      <c r="A75" s="26"/>
    </row>
    <row r="76" ht="15.75" customHeight="1">
      <c r="A76" s="26"/>
    </row>
    <row r="77" ht="15.75" customHeight="1">
      <c r="A77" s="26"/>
    </row>
    <row r="78" ht="15.75" customHeight="1">
      <c r="A78" s="26"/>
    </row>
    <row r="79" ht="15.75" customHeight="1">
      <c r="A79" s="26"/>
    </row>
    <row r="80" ht="15.75" customHeight="1">
      <c r="A80" s="26"/>
    </row>
    <row r="81" ht="15.75" customHeight="1">
      <c r="A81" s="26"/>
    </row>
    <row r="82" ht="15.75" customHeight="1">
      <c r="A82" s="26"/>
    </row>
    <row r="83" ht="15.75" customHeight="1">
      <c r="A83" s="26"/>
    </row>
    <row r="84" ht="15.75" customHeight="1">
      <c r="A84" s="26"/>
    </row>
    <row r="85" ht="15.75" customHeight="1">
      <c r="A85" s="26"/>
    </row>
    <row r="86" ht="15.75" customHeight="1">
      <c r="A86" s="26"/>
    </row>
    <row r="87" ht="15.75" customHeight="1">
      <c r="A87" s="26"/>
    </row>
    <row r="88" ht="15.75" customHeight="1">
      <c r="A88" s="26"/>
    </row>
    <row r="89" ht="15.75" customHeight="1">
      <c r="A89" s="26"/>
    </row>
    <row r="90" ht="15.75" customHeight="1">
      <c r="A90" s="26"/>
    </row>
    <row r="91" ht="15.75" customHeight="1">
      <c r="A91" s="26"/>
    </row>
    <row r="92" ht="15.75" customHeight="1">
      <c r="A92" s="26"/>
    </row>
    <row r="93" ht="15.75" customHeight="1">
      <c r="A93" s="26"/>
    </row>
    <row r="94" ht="15.75" customHeight="1">
      <c r="A94" s="26"/>
    </row>
    <row r="95" ht="15.75" customHeight="1">
      <c r="A95" s="26"/>
    </row>
    <row r="96" ht="15.75" customHeight="1">
      <c r="A96" s="26"/>
    </row>
    <row r="97" ht="15.75" customHeight="1">
      <c r="A97" s="26"/>
    </row>
    <row r="98" ht="15.75" customHeight="1">
      <c r="A98" s="26"/>
    </row>
    <row r="99" ht="15.75" customHeight="1">
      <c r="A99" s="26"/>
    </row>
    <row r="100" ht="15.75" customHeight="1">
      <c r="A100" s="26"/>
    </row>
    <row r="101" ht="15.75" customHeight="1">
      <c r="A101" s="26"/>
    </row>
    <row r="102" ht="15.75" customHeight="1">
      <c r="A102" s="26"/>
    </row>
    <row r="103" ht="15.75" customHeight="1">
      <c r="A103" s="26"/>
    </row>
    <row r="104" ht="15.75" customHeight="1">
      <c r="A104" s="26"/>
    </row>
    <row r="105" ht="15.75" customHeight="1">
      <c r="A105" s="26"/>
    </row>
    <row r="106" ht="15.75" customHeight="1">
      <c r="A106" s="26"/>
    </row>
    <row r="107" ht="15.75" customHeight="1">
      <c r="A107" s="26"/>
    </row>
    <row r="108" ht="15.75" customHeight="1">
      <c r="A108" s="26"/>
    </row>
    <row r="109" ht="15.75" customHeight="1">
      <c r="A109" s="26"/>
    </row>
    <row r="110" ht="15.75" customHeight="1">
      <c r="A110" s="26"/>
    </row>
    <row r="111" ht="15.75" customHeight="1">
      <c r="A111" s="26"/>
    </row>
    <row r="112" ht="15.75" customHeight="1">
      <c r="A112" s="26"/>
    </row>
    <row r="113" ht="15.75" customHeight="1">
      <c r="A113" s="26"/>
    </row>
    <row r="114" ht="15.75" customHeight="1">
      <c r="A114" s="26"/>
    </row>
    <row r="115" ht="15.75" customHeight="1">
      <c r="A115" s="26"/>
    </row>
    <row r="116" ht="15.75" customHeight="1">
      <c r="A116" s="26"/>
    </row>
    <row r="117" ht="15.75" customHeight="1">
      <c r="A117" s="26"/>
    </row>
    <row r="118" ht="15.75" customHeight="1">
      <c r="A118" s="26"/>
    </row>
    <row r="119" ht="15.75" customHeight="1">
      <c r="A119" s="26"/>
    </row>
    <row r="120" ht="15.75" customHeight="1">
      <c r="A120" s="26"/>
    </row>
    <row r="121" ht="15.75" customHeight="1">
      <c r="A121" s="26"/>
    </row>
    <row r="122" ht="15.75" customHeight="1">
      <c r="A122" s="26"/>
    </row>
    <row r="123" ht="15.75" customHeight="1">
      <c r="A123" s="26"/>
    </row>
    <row r="124" ht="15.75" customHeight="1">
      <c r="A124" s="26"/>
    </row>
    <row r="125" ht="15.75" customHeight="1">
      <c r="A125" s="2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sheetData>
  <dataValidations>
    <dataValidation type="list" allowBlank="1" sqref="H4:H11">
      <formula1>References!$K$4:$K$5</formula1>
    </dataValidation>
    <dataValidation type="list" allowBlank="1" showErrorMessage="1" sqref="K10">
      <formula1>"Opsi 1,Opsi 2"</formula1>
    </dataValidation>
  </dataValidations>
  <hyperlinks>
    <hyperlink r:id="rId1" ref="C2"/>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4.88"/>
    <col customWidth="1" min="2" max="2" width="22.75"/>
    <col customWidth="1" min="3" max="3" width="19.13"/>
    <col customWidth="1" min="4" max="4" width="31.13"/>
    <col customWidth="1" min="5" max="5" width="37.0"/>
    <col customWidth="1" min="6" max="6" width="10.75"/>
    <col customWidth="1" min="7" max="7" width="28.25"/>
    <col customWidth="1" min="8" max="8" width="17.38"/>
    <col customWidth="1" min="9" max="9" width="26.38"/>
  </cols>
  <sheetData>
    <row r="1" ht="15.75" customHeight="1">
      <c r="A1" s="27" t="s">
        <v>66</v>
      </c>
    </row>
    <row r="2" ht="15.75" customHeight="1"/>
    <row r="3" ht="15.75" customHeight="1">
      <c r="A3" s="28" t="s">
        <v>11</v>
      </c>
      <c r="B3" s="28" t="s">
        <v>67</v>
      </c>
      <c r="C3" s="28" t="s">
        <v>68</v>
      </c>
      <c r="D3" s="28" t="s">
        <v>69</v>
      </c>
      <c r="E3" s="28" t="s">
        <v>70</v>
      </c>
      <c r="F3" s="28" t="s">
        <v>71</v>
      </c>
      <c r="G3" s="28" t="s">
        <v>72</v>
      </c>
      <c r="H3" s="28" t="s">
        <v>73</v>
      </c>
      <c r="I3" s="28" t="s">
        <v>74</v>
      </c>
    </row>
    <row r="4" ht="15.75" hidden="1" customHeight="1">
      <c r="A4" s="29" t="s">
        <v>75</v>
      </c>
      <c r="B4" s="29" t="s">
        <v>76</v>
      </c>
      <c r="C4" s="29" t="s">
        <v>77</v>
      </c>
      <c r="D4" s="29" t="s">
        <v>78</v>
      </c>
      <c r="E4" s="29" t="s">
        <v>79</v>
      </c>
      <c r="F4" s="29" t="s">
        <v>80</v>
      </c>
      <c r="G4" s="29" t="s">
        <v>81</v>
      </c>
      <c r="H4" s="29" t="s">
        <v>82</v>
      </c>
      <c r="I4" s="29"/>
      <c r="J4" s="18"/>
      <c r="K4" s="18"/>
      <c r="L4" s="18"/>
      <c r="M4" s="18"/>
      <c r="N4" s="18"/>
      <c r="O4" s="18"/>
      <c r="P4" s="18"/>
      <c r="Q4" s="18"/>
      <c r="R4" s="18"/>
      <c r="S4" s="18"/>
      <c r="T4" s="18"/>
      <c r="U4" s="18"/>
      <c r="V4" s="18"/>
      <c r="W4" s="18"/>
      <c r="X4" s="18"/>
      <c r="Y4" s="18"/>
      <c r="Z4" s="18"/>
      <c r="AA4" s="18"/>
    </row>
    <row r="5" ht="99.0" customHeight="1">
      <c r="A5" s="22" t="s">
        <v>34</v>
      </c>
      <c r="B5" s="12" t="s">
        <v>83</v>
      </c>
      <c r="C5" s="30" t="s">
        <v>84</v>
      </c>
      <c r="D5" s="30" t="s">
        <v>85</v>
      </c>
      <c r="E5" s="30" t="s">
        <v>86</v>
      </c>
      <c r="F5" s="30" t="s">
        <v>87</v>
      </c>
      <c r="G5" s="30" t="s">
        <v>88</v>
      </c>
      <c r="H5" s="31"/>
      <c r="I5" s="16" t="s">
        <v>21</v>
      </c>
      <c r="J5" s="18"/>
      <c r="K5" s="18"/>
      <c r="L5" s="18"/>
      <c r="M5" s="18"/>
      <c r="N5" s="18"/>
      <c r="O5" s="18"/>
      <c r="P5" s="18"/>
      <c r="Q5" s="18"/>
      <c r="R5" s="18"/>
      <c r="S5" s="18"/>
      <c r="T5" s="18"/>
      <c r="U5" s="18"/>
      <c r="V5" s="18"/>
      <c r="W5" s="18"/>
      <c r="X5" s="18"/>
      <c r="Y5" s="18"/>
      <c r="Z5" s="18"/>
      <c r="AA5" s="18"/>
    </row>
    <row r="6" ht="114.75" customHeight="1">
      <c r="A6" s="15" t="s">
        <v>46</v>
      </c>
      <c r="B6" s="30" t="s">
        <v>89</v>
      </c>
      <c r="C6" s="30" t="s">
        <v>90</v>
      </c>
      <c r="D6" s="30" t="s">
        <v>91</v>
      </c>
      <c r="E6" s="30" t="s">
        <v>92</v>
      </c>
      <c r="F6" s="30" t="s">
        <v>80</v>
      </c>
      <c r="G6" s="30" t="s">
        <v>93</v>
      </c>
      <c r="H6" s="31"/>
      <c r="I6" s="16" t="s">
        <v>21</v>
      </c>
      <c r="J6" s="18"/>
      <c r="K6" s="18"/>
      <c r="L6" s="18"/>
      <c r="M6" s="18"/>
      <c r="N6" s="18"/>
      <c r="O6" s="18"/>
      <c r="P6" s="18"/>
      <c r="Q6" s="18"/>
      <c r="R6" s="18"/>
      <c r="S6" s="18"/>
      <c r="T6" s="18"/>
      <c r="U6" s="18"/>
      <c r="V6" s="18"/>
      <c r="W6" s="18"/>
      <c r="X6" s="18"/>
      <c r="Y6" s="18"/>
      <c r="Z6" s="18"/>
      <c r="AA6" s="18"/>
    </row>
    <row r="7" ht="95.25" customHeight="1">
      <c r="A7" s="15" t="s">
        <v>53</v>
      </c>
      <c r="B7" s="30" t="s">
        <v>94</v>
      </c>
      <c r="C7" s="30" t="s">
        <v>90</v>
      </c>
      <c r="D7" s="30" t="s">
        <v>95</v>
      </c>
      <c r="E7" s="30" t="s">
        <v>96</v>
      </c>
      <c r="F7" s="30" t="s">
        <v>87</v>
      </c>
      <c r="G7" s="30" t="s">
        <v>97</v>
      </c>
      <c r="H7" s="31"/>
      <c r="I7" s="16" t="s">
        <v>21</v>
      </c>
      <c r="J7" s="18"/>
      <c r="K7" s="18"/>
      <c r="L7" s="18"/>
      <c r="M7" s="18"/>
      <c r="N7" s="18"/>
      <c r="O7" s="18"/>
      <c r="P7" s="18"/>
      <c r="Q7" s="18"/>
      <c r="R7" s="18"/>
      <c r="S7" s="18"/>
      <c r="T7" s="18"/>
      <c r="U7" s="18"/>
      <c r="V7" s="18"/>
      <c r="W7" s="18"/>
      <c r="X7" s="18"/>
      <c r="Y7" s="18"/>
      <c r="Z7" s="18"/>
      <c r="AA7" s="18"/>
    </row>
    <row r="8" ht="93.75" customHeight="1">
      <c r="A8" s="15" t="s">
        <v>59</v>
      </c>
      <c r="B8" s="30" t="s">
        <v>98</v>
      </c>
      <c r="C8" s="30" t="s">
        <v>99</v>
      </c>
      <c r="D8" s="30" t="s">
        <v>100</v>
      </c>
      <c r="E8" s="30" t="s">
        <v>101</v>
      </c>
      <c r="F8" s="30" t="s">
        <v>87</v>
      </c>
      <c r="G8" s="30" t="s">
        <v>102</v>
      </c>
      <c r="H8" s="31"/>
      <c r="I8" s="16" t="s">
        <v>21</v>
      </c>
      <c r="J8" s="18"/>
      <c r="K8" s="18"/>
      <c r="L8" s="18"/>
      <c r="M8" s="18"/>
      <c r="N8" s="18"/>
      <c r="O8" s="18"/>
      <c r="P8" s="18"/>
      <c r="Q8" s="18"/>
      <c r="R8" s="18"/>
      <c r="S8" s="18"/>
      <c r="T8" s="18"/>
      <c r="U8" s="18"/>
      <c r="V8" s="18"/>
      <c r="W8" s="18"/>
      <c r="X8" s="18"/>
      <c r="Y8" s="18"/>
      <c r="Z8" s="18"/>
      <c r="AA8" s="18"/>
    </row>
    <row r="9" ht="99.0" customHeight="1">
      <c r="A9" s="15" t="s">
        <v>65</v>
      </c>
      <c r="B9" s="32" t="s">
        <v>103</v>
      </c>
      <c r="C9" s="32" t="s">
        <v>99</v>
      </c>
      <c r="D9" s="32" t="s">
        <v>104</v>
      </c>
      <c r="E9" s="32" t="s">
        <v>105</v>
      </c>
      <c r="F9" s="33" t="s">
        <v>87</v>
      </c>
      <c r="G9" s="33" t="s">
        <v>106</v>
      </c>
      <c r="H9" s="34"/>
      <c r="I9" s="16" t="s">
        <v>21</v>
      </c>
      <c r="J9" s="18"/>
      <c r="K9" s="18"/>
      <c r="L9" s="18"/>
      <c r="M9" s="18"/>
      <c r="N9" s="18"/>
      <c r="O9" s="18"/>
      <c r="P9" s="18"/>
      <c r="Q9" s="18"/>
      <c r="R9" s="18"/>
      <c r="S9" s="18"/>
      <c r="T9" s="18"/>
      <c r="U9" s="18"/>
      <c r="V9" s="18"/>
      <c r="W9" s="18"/>
      <c r="X9" s="18"/>
      <c r="Y9" s="18"/>
      <c r="Z9" s="18"/>
      <c r="AA9" s="18"/>
    </row>
    <row r="10" ht="15.75" customHeight="1"/>
    <row r="11" ht="15.75" customHeight="1">
      <c r="A11" s="35"/>
    </row>
    <row r="12" ht="15.75" customHeight="1">
      <c r="A12" s="3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15.25"/>
    <col customWidth="1" min="2" max="2" width="30.38"/>
    <col customWidth="1" min="3" max="10" width="15.13"/>
  </cols>
  <sheetData>
    <row r="1" ht="15.75" customHeight="1">
      <c r="A1" s="27" t="s">
        <v>107</v>
      </c>
    </row>
    <row r="2" ht="15.75" customHeight="1"/>
    <row r="3" ht="15.75" customHeight="1">
      <c r="A3" s="37" t="s">
        <v>11</v>
      </c>
      <c r="B3" s="37" t="s">
        <v>67</v>
      </c>
      <c r="C3" s="37" t="s">
        <v>108</v>
      </c>
      <c r="D3" s="37" t="s">
        <v>109</v>
      </c>
      <c r="E3" s="37" t="s">
        <v>110</v>
      </c>
      <c r="F3" s="37" t="s">
        <v>111</v>
      </c>
      <c r="G3" s="37" t="s">
        <v>112</v>
      </c>
      <c r="H3" s="37" t="s">
        <v>113</v>
      </c>
      <c r="I3" s="37" t="s">
        <v>114</v>
      </c>
      <c r="J3" s="37" t="s">
        <v>115</v>
      </c>
      <c r="K3" s="37" t="s">
        <v>116</v>
      </c>
      <c r="L3" s="37" t="s">
        <v>71</v>
      </c>
      <c r="M3" s="37" t="s">
        <v>117</v>
      </c>
      <c r="N3" s="38"/>
      <c r="O3" s="38"/>
      <c r="P3" s="38"/>
      <c r="Q3" s="38"/>
      <c r="R3" s="38"/>
      <c r="S3" s="38"/>
      <c r="T3" s="38"/>
      <c r="U3" s="38"/>
      <c r="V3" s="38"/>
      <c r="W3" s="38"/>
      <c r="X3" s="38"/>
      <c r="Y3" s="38"/>
      <c r="Z3" s="38"/>
      <c r="AA3" s="38"/>
    </row>
    <row r="4" ht="49.5" customHeight="1">
      <c r="A4" s="39" t="s">
        <v>34</v>
      </c>
      <c r="B4" s="40" t="s">
        <v>118</v>
      </c>
      <c r="C4" s="41" t="s">
        <v>119</v>
      </c>
      <c r="D4" s="41" t="s">
        <v>120</v>
      </c>
      <c r="E4" s="41" t="s">
        <v>121</v>
      </c>
      <c r="F4" s="41" t="s">
        <v>121</v>
      </c>
      <c r="G4" s="41" t="s">
        <v>122</v>
      </c>
      <c r="H4" s="41" t="s">
        <v>120</v>
      </c>
      <c r="I4" s="41" t="s">
        <v>120</v>
      </c>
      <c r="J4" s="41" t="s">
        <v>121</v>
      </c>
      <c r="K4" s="42">
        <f>IFERROR(__xludf.DUMMYFUNCTION("SINGLE(IF(AND(C4&lt;&gt;"""",D4&lt;&gt;"""",E4&lt;&gt;"""",F4&lt;&gt;"""",G4&lt;&gt;"""",H4&lt;&gt;"""",I4&lt;&gt;"""",J4&lt;&gt;""""),IF((SINGLE(IFS(G4 = ""Unchanged (U)"", 6.42 * (1-((1-(SINGLE(IFS(H4 = ""None (N)"", 0, H4 = ""Low (L)"", 0.22, H4 = ""High (H)"", 0.56))))*(1-(SINGLE(IFS(I4 = ""None (N"&amp;")"", 0, I4 = ""Low (L)"", 0.22, I4 = ""High (H)"", 0.56))))*(1-(SINGLE(IFS(J4 = ""None (N)"", 0, J4 = ""Low (L)"", 0.22, J4 = ""High (H)"", 0.56)))))), G4 = ""Changed (C)"", 7.52 * ((1-((1-(SINGLE(IFS(H4 = ""None (N)"", 0, H4 = ""Low (L)"", 0.22, H4 = ""H"&amp;"igh (H)"", 0.56))))*(1-(SINGLE(IFS(I4 = ""None (N)"", 0, I4 = ""Low (L)"", 0.22, I4 = ""High (H)"", 0.56))))*(1-(SINGLE(IFS(J4 = ""None (N)"", 0, J4 = ""Low (L)"", 0.22, J4 = ""High (H)"", 0.56)))))) - 0.029) - 3.25 *SINGLE(pow((1-((1-(SINGLE(IFS(H4 = ""N"&amp;"one (N)"", 0, H4 = ""Low (L)"", 0.22, H4 = ""High (H)"", 0.56))))*(1-(SINGLE(IFS(I4 = ""None (N)"", 0, I4 = ""Low (L)"", 0.22, I4 = ""High (H)"", 0.56))))*(1-(SINGLE(IFS(J4 = ""None (N)"", 0, J4 = ""Low (L)"", 0.22, J4 = ""High (H)"", 0.56)))))) - 0.02,15"&amp;"))))) &lt;= 0, 0, IFS(G4 = ""Unchanged (U)"", ROUNDUP(MIN(SINGLE(IF(G4 &lt;&gt; """", IFS(G4 = ""Unchanged (U)"", 6.42 * (1-((1-(SINGLE(IFS(H4 = ""None (N)"", 0, H4 = ""Low (L)"", 0.22, H4 = ""High (H)"", 0.56))))*(1-(SINGLE(IFS(I4 = ""None (N)"", 0, I4 = ""Low (L"&amp;")"", 0.22, I4 = ""High (H)"", 0.56))))*(1-(SINGLE(IFS(J4 = ""None (N)"", 0, J4 = ""Low (L)"", 0.22, J4 = ""High (H)"", 0.56)))))), G4 = ""Changed (C)"", 7.52 * ((1-((1-(SINGLE(IFS(H4 = ""None (N)"", 0, H4 = ""Low (L)"", 0.22, H4 = ""High (H)"", 0.56))))*("&amp;"1-(SINGLE(IFS(I4 = ""None (N)"", 0, I4 = ""Low (L)"", 0.22, I4 = ""High (H)"", 0.56))))*(1-(SINGLE(IFS(J4 = ""None (N)"", 0, J4 = ""Low (L)"", 0.22, J4 = ""High (H)"", 0.56)))))) - 0.029) - 3.25 *SINGLE(pow((1-((1-(SINGLE(IFS(H4 = ""None (N)"", 0, H4 = """&amp;"Low (L)"", 0.22, H4 = ""High (H)"", 0.56))))*(1-(SINGLE(IFS(I4 = ""None (N)"", 0, I4 = ""Low (L)"", 0.22, I4 = ""High (H)"", 0.56))))*(1-(SINGLE(IFS(J4 = ""None (N)"", 0, J4 = ""Low (L)"", 0.22, J4 = ""High (H)"", 0.56)))))) - 0.02,15))), """")) + 8.22 *S"&amp;"INGLE( IFS(C4 = ""Network (N)"", 0.85, C4 = ""Adjacent (A)"", 0.62, C4 = ""Local (L)"", 0.55, C4 = ""Physical (P)"",0.2)) *SINGLE(IFS(D4 = ""Low (L)"", 0.77, D4 = ""High (H)"", 0.44)) *SINGLE(IFS(E4 = ""None (N)"", 0.85, AND(E4 = ""Low (L)"", G4 = ""Uncha"&amp;"nged (U)""), 0.62, AND(E4 = ""Low (L)"", G4 = ""Changed (C)""), 0.68, AND(E4 = ""High (H)"", G4 = ""Unchanged (U)""), 0.27, AND(E4 = ""High (H)"", G4 = ""Changed (C)""), 0.5)) *SINGLE(IFS(F4 = ""None (N)"", 0.85, F4 = ""Required (R)"", 0.62)),10),1), G4 ="&amp;" ""Changed (C)"", ROUNDUP(MIN(1.08 * (SINGLE(IF(G4 &lt;&gt; """", IFS(G4 = ""Unchanged (U)"", 6.42 * (1-((1-(SINGLE(IFS(H4 = ""None (N)"", 0, H4 = ""Low (L)"", 0.22, H4 = ""High (H)"", 0.56))))*(1-(SINGLE(IFS(I4 = ""None (N)"", 0, I4 = ""Low (L)"", 0.22, I4 = "&amp;"""High (H)"", 0.56))))*(1-(SINGLE(IFS(J4 = ""None (N)"", 0, J4 = ""Low (L)"", 0.22, J4 = ""High (H)"", 0.56)))))), G4 = ""Changed (C)"", 7.52 * ((1-((1-(SINGLE(IFS(H4 = ""None (N)"", 0, H4 = ""Low (L)"", 0.22, H4 = ""High (H)"", 0.56))))*(1-(SINGLE(IFS(I4"&amp;" = ""None (N)"", 0, I4 = ""Low (L)"", 0.22, I4 = ""High (H)"", 0.56))))*(1-(SINGLE(IFS(J4 = ""None (N)"", 0, J4 = ""Low (L)"", 0.22, J4 = ""High (H)"", 0.56)))))) - 0.029) - 3.25 *SINGLE(pow((1-((1-(SINGLE(IFS(H4 = ""None (N)"", 0, H4 = ""Low (L)"", 0.22,"&amp;" H4 = ""High (H)"", 0.56))))*(1-(SINGLE(IFS(I4 = ""None (N)"", 0, I4 = ""Low (L)"", 0.22, I4 = ""High (H)"", 0.56))))*(1-(SINGLE(IFS(J4 = ""None (N)"", 0, J4 = ""Low (L)"", 0.22, J4 = ""High (H)"", 0.56)))))) - 0.02,15))), """")) + 8.22 *SINGLE( IFS(C4 = "&amp;"""Network (N)"", 0.85, C4 = ""Adjacent (A)"", 0.62, C4 = ""Local (L)"", 0.55, C4 = ""Physical (P)"",0.2)) *SINGLE(IFS(D4 = ""Low (L)"", 0.77, D4 = ""High (H)"", 0.44)) *SINGLE(IFS(E4 = ""None (N)"", 0.85, AND(E4 = ""Low (L)"", G4 = ""Unchanged (U)""), 0.6"&amp;"2, AND(E4 = ""Low (L)"", G4 = ""Changed (C)""), 0.68, AND(E4 = ""High (H)"", G4 = ""Unchanged (U)""), 0.27, AND(E4 = ""High (H)"", G4 = ""Changed (C)""), 0.5)) *SINGLE(IFS(F4 = ""None (N)"", 0.85, F4 = ""Required (R)"", 0.62))),10),1))),""""))"),6.5)</f>
        <v>6.5</v>
      </c>
      <c r="L4" s="43" t="str">
        <f>IF(K4&lt;&gt;"",IFS(K4&gt;=9, "Critical",K4&gt;=7, "High", K4 &gt;=4,"Medium",K4 &gt;= 0.1, "Low"),"")</f>
        <v>Medium</v>
      </c>
      <c r="M4" s="44" t="s">
        <v>123</v>
      </c>
      <c r="N4" s="38"/>
      <c r="O4" s="38"/>
      <c r="P4" s="38"/>
      <c r="Q4" s="38"/>
      <c r="R4" s="38"/>
      <c r="S4" s="38"/>
      <c r="T4" s="38"/>
      <c r="U4" s="38"/>
      <c r="V4" s="38"/>
      <c r="W4" s="38"/>
      <c r="X4" s="38"/>
      <c r="Y4" s="38"/>
      <c r="Z4" s="38"/>
      <c r="AA4" s="38"/>
    </row>
    <row r="5" ht="68.25" customHeight="1">
      <c r="A5" s="45" t="s">
        <v>46</v>
      </c>
      <c r="B5" s="40" t="s">
        <v>124</v>
      </c>
      <c r="C5" s="41" t="s">
        <v>119</v>
      </c>
      <c r="D5" s="41" t="s">
        <v>120</v>
      </c>
      <c r="E5" s="41" t="s">
        <v>121</v>
      </c>
      <c r="F5" s="41" t="s">
        <v>121</v>
      </c>
      <c r="G5" s="41" t="s">
        <v>125</v>
      </c>
      <c r="H5" s="41" t="s">
        <v>126</v>
      </c>
      <c r="I5" s="41" t="s">
        <v>126</v>
      </c>
      <c r="J5" s="41" t="s">
        <v>126</v>
      </c>
      <c r="K5" s="46" t="s">
        <v>127</v>
      </c>
      <c r="L5" s="47" t="s">
        <v>80</v>
      </c>
      <c r="M5" s="48" t="s">
        <v>128</v>
      </c>
      <c r="N5" s="38"/>
      <c r="O5" s="38"/>
      <c r="P5" s="38"/>
      <c r="Q5" s="38"/>
      <c r="R5" s="38"/>
      <c r="S5" s="38"/>
      <c r="T5" s="38"/>
      <c r="U5" s="38"/>
      <c r="V5" s="38"/>
      <c r="W5" s="38"/>
      <c r="X5" s="38"/>
      <c r="Y5" s="38"/>
      <c r="Z5" s="38"/>
      <c r="AA5" s="38"/>
    </row>
    <row r="6" ht="54.75" customHeight="1">
      <c r="A6" s="45" t="s">
        <v>53</v>
      </c>
      <c r="B6" s="40" t="s">
        <v>129</v>
      </c>
      <c r="C6" s="41" t="s">
        <v>119</v>
      </c>
      <c r="D6" s="41" t="s">
        <v>120</v>
      </c>
      <c r="E6" s="41" t="s">
        <v>121</v>
      </c>
      <c r="F6" s="41" t="s">
        <v>121</v>
      </c>
      <c r="G6" s="41" t="s">
        <v>125</v>
      </c>
      <c r="H6" s="41" t="s">
        <v>126</v>
      </c>
      <c r="I6" s="41" t="s">
        <v>120</v>
      </c>
      <c r="J6" s="41" t="s">
        <v>121</v>
      </c>
      <c r="K6" s="49">
        <v>45360.0</v>
      </c>
      <c r="L6" s="47" t="s">
        <v>87</v>
      </c>
      <c r="M6" s="44" t="s">
        <v>130</v>
      </c>
      <c r="N6" s="38"/>
      <c r="O6" s="38"/>
      <c r="P6" s="38"/>
      <c r="Q6" s="38"/>
      <c r="R6" s="38"/>
      <c r="S6" s="38"/>
      <c r="T6" s="38"/>
      <c r="U6" s="38"/>
      <c r="V6" s="38"/>
      <c r="W6" s="38"/>
      <c r="X6" s="38"/>
      <c r="Y6" s="38"/>
      <c r="Z6" s="38"/>
      <c r="AA6" s="38"/>
    </row>
    <row r="7" ht="54.75" customHeight="1">
      <c r="A7" s="45" t="s">
        <v>59</v>
      </c>
      <c r="B7" s="40" t="s">
        <v>131</v>
      </c>
      <c r="C7" s="41" t="s">
        <v>119</v>
      </c>
      <c r="D7" s="41" t="s">
        <v>120</v>
      </c>
      <c r="E7" s="41" t="s">
        <v>120</v>
      </c>
      <c r="F7" s="41" t="s">
        <v>121</v>
      </c>
      <c r="G7" s="41" t="s">
        <v>125</v>
      </c>
      <c r="H7" s="41" t="s">
        <v>126</v>
      </c>
      <c r="I7" s="41" t="s">
        <v>120</v>
      </c>
      <c r="J7" s="41" t="s">
        <v>121</v>
      </c>
      <c r="K7" s="49">
        <v>45420.0</v>
      </c>
      <c r="L7" s="47" t="s">
        <v>87</v>
      </c>
      <c r="M7" s="44" t="s">
        <v>132</v>
      </c>
      <c r="N7" s="38"/>
      <c r="O7" s="38"/>
      <c r="P7" s="38"/>
      <c r="Q7" s="38"/>
      <c r="R7" s="38"/>
      <c r="S7" s="38"/>
      <c r="T7" s="38"/>
      <c r="U7" s="38"/>
      <c r="V7" s="38"/>
      <c r="W7" s="38"/>
      <c r="X7" s="38"/>
      <c r="Y7" s="38"/>
      <c r="Z7" s="38"/>
      <c r="AA7" s="38"/>
    </row>
    <row r="8" ht="58.5" customHeight="1">
      <c r="A8" s="45" t="s">
        <v>65</v>
      </c>
      <c r="B8" s="40" t="s">
        <v>133</v>
      </c>
      <c r="C8" s="41" t="s">
        <v>119</v>
      </c>
      <c r="D8" s="41" t="s">
        <v>120</v>
      </c>
      <c r="E8" s="41" t="s">
        <v>120</v>
      </c>
      <c r="F8" s="41" t="s">
        <v>121</v>
      </c>
      <c r="G8" s="41" t="s">
        <v>125</v>
      </c>
      <c r="H8" s="41" t="s">
        <v>126</v>
      </c>
      <c r="I8" s="41" t="s">
        <v>126</v>
      </c>
      <c r="J8" s="41" t="s">
        <v>126</v>
      </c>
      <c r="K8" s="49">
        <v>45544.0</v>
      </c>
      <c r="L8" s="47" t="s">
        <v>87</v>
      </c>
      <c r="M8" s="44" t="s">
        <v>134</v>
      </c>
      <c r="N8" s="38"/>
      <c r="O8" s="38"/>
      <c r="P8" s="38"/>
      <c r="Q8" s="38"/>
      <c r="R8" s="38"/>
      <c r="S8" s="38"/>
      <c r="T8" s="38"/>
      <c r="U8" s="38"/>
      <c r="V8" s="38"/>
      <c r="W8" s="38"/>
      <c r="X8" s="38"/>
      <c r="Y8" s="38"/>
      <c r="Z8" s="38"/>
      <c r="AA8" s="38"/>
    </row>
    <row r="9" ht="15.75" customHeight="1">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ht="15.75" customHeight="1">
      <c r="A10" s="35"/>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ht="15.75" customHeight="1">
      <c r="A11" s="36"/>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dataValidation type="list" allowBlank="1" sqref="G4:G8">
      <formula1>References!$E$4:$E$5</formula1>
    </dataValidation>
    <dataValidation type="list" allowBlank="1" sqref="I4:I8">
      <formula1>References!$G$4:$G$6</formula1>
    </dataValidation>
    <dataValidation type="list" allowBlank="1" sqref="E4:E8">
      <formula1>References!$C$4:$C$6</formula1>
    </dataValidation>
    <dataValidation type="list" allowBlank="1" sqref="D4:D8">
      <formula1>References!$B$4:$B$5</formula1>
    </dataValidation>
    <dataValidation type="list" allowBlank="1" sqref="F4:F8">
      <formula1>References!$D$4:$D$5</formula1>
    </dataValidation>
    <dataValidation type="list" allowBlank="1" sqref="C4:C8">
      <formula1>References!$A$4:$A$7</formula1>
    </dataValidation>
    <dataValidation type="list" allowBlank="1" sqref="H4:H8">
      <formula1>References!$F$4:$F$6</formula1>
    </dataValidation>
    <dataValidation type="list" allowBlank="1" sqref="J4:J8">
      <formula1>References!$H$4:$H$6</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4.13"/>
    <col customWidth="1" min="2" max="7" width="50.13"/>
  </cols>
  <sheetData>
    <row r="1" ht="15.75" customHeight="1">
      <c r="A1" s="50" t="s">
        <v>135</v>
      </c>
      <c r="B1" s="18"/>
      <c r="C1" s="18"/>
      <c r="D1" s="18"/>
      <c r="E1" s="18"/>
      <c r="F1" s="18"/>
      <c r="G1" s="18"/>
      <c r="H1" s="18"/>
      <c r="I1" s="18"/>
      <c r="J1" s="18"/>
      <c r="K1" s="18"/>
      <c r="L1" s="18"/>
      <c r="M1" s="18"/>
      <c r="N1" s="18"/>
      <c r="O1" s="18"/>
      <c r="P1" s="18"/>
      <c r="Q1" s="18"/>
      <c r="R1" s="18"/>
      <c r="S1" s="18"/>
      <c r="T1" s="18"/>
      <c r="U1" s="18"/>
      <c r="V1" s="18"/>
      <c r="W1" s="18"/>
      <c r="X1" s="18"/>
      <c r="Y1" s="18"/>
      <c r="Z1" s="18"/>
    </row>
    <row r="2" ht="15.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5.75" customHeight="1">
      <c r="A3" s="51" t="s">
        <v>11</v>
      </c>
      <c r="B3" s="51" t="s">
        <v>136</v>
      </c>
      <c r="C3" s="51" t="s">
        <v>137</v>
      </c>
      <c r="D3" s="51" t="s">
        <v>138</v>
      </c>
      <c r="E3" s="51" t="s">
        <v>139</v>
      </c>
      <c r="F3" s="51" t="s">
        <v>140</v>
      </c>
      <c r="G3" s="51" t="s">
        <v>141</v>
      </c>
      <c r="H3" s="18"/>
      <c r="I3" s="18"/>
      <c r="J3" s="18"/>
      <c r="K3" s="18"/>
      <c r="L3" s="18"/>
      <c r="M3" s="18"/>
      <c r="N3" s="18"/>
      <c r="O3" s="18"/>
      <c r="P3" s="18"/>
      <c r="Q3" s="18"/>
      <c r="R3" s="18"/>
      <c r="S3" s="18"/>
      <c r="T3" s="18"/>
      <c r="U3" s="18"/>
      <c r="V3" s="18"/>
      <c r="W3" s="18"/>
      <c r="X3" s="18"/>
      <c r="Y3" s="18"/>
      <c r="Z3" s="18"/>
    </row>
    <row r="4" ht="225.0" customHeight="1">
      <c r="A4" s="52" t="s">
        <v>34</v>
      </c>
      <c r="B4" s="53" t="s">
        <v>142</v>
      </c>
      <c r="C4" s="53" t="s">
        <v>142</v>
      </c>
      <c r="D4" s="54" t="s">
        <v>142</v>
      </c>
      <c r="E4" s="53"/>
      <c r="F4" s="53"/>
      <c r="G4" s="53"/>
      <c r="H4" s="18"/>
      <c r="I4" s="18"/>
      <c r="J4" s="18"/>
      <c r="K4" s="18"/>
      <c r="L4" s="18"/>
      <c r="M4" s="18"/>
      <c r="N4" s="18"/>
      <c r="O4" s="18"/>
      <c r="P4" s="18"/>
      <c r="Q4" s="18"/>
      <c r="R4" s="18"/>
      <c r="S4" s="18"/>
      <c r="T4" s="18"/>
      <c r="U4" s="18"/>
      <c r="V4" s="18"/>
      <c r="W4" s="18"/>
      <c r="X4" s="18"/>
      <c r="Y4" s="18"/>
      <c r="Z4" s="18"/>
    </row>
    <row r="5" ht="52.5" customHeight="1">
      <c r="A5" s="55"/>
      <c r="B5" s="56" t="s">
        <v>143</v>
      </c>
      <c r="C5" s="57" t="s">
        <v>144</v>
      </c>
      <c r="D5" s="58" t="s">
        <v>145</v>
      </c>
      <c r="E5" s="59"/>
      <c r="F5" s="60"/>
      <c r="G5" s="60"/>
      <c r="H5" s="18"/>
      <c r="I5" s="18"/>
      <c r="J5" s="18"/>
      <c r="K5" s="18"/>
      <c r="L5" s="18"/>
      <c r="M5" s="18"/>
      <c r="N5" s="18"/>
      <c r="O5" s="18"/>
      <c r="P5" s="18"/>
      <c r="Q5" s="18"/>
      <c r="R5" s="18"/>
      <c r="S5" s="18"/>
      <c r="T5" s="18"/>
      <c r="U5" s="18"/>
      <c r="V5" s="18"/>
      <c r="W5" s="18"/>
      <c r="X5" s="18"/>
      <c r="Y5" s="18"/>
      <c r="Z5" s="18"/>
    </row>
    <row r="6" ht="225.0" customHeight="1">
      <c r="A6" s="52" t="s">
        <v>46</v>
      </c>
      <c r="B6" s="53" t="s">
        <v>142</v>
      </c>
      <c r="C6" s="53" t="s">
        <v>142</v>
      </c>
      <c r="D6" s="61" t="s">
        <v>142</v>
      </c>
      <c r="E6" s="53" t="s">
        <v>142</v>
      </c>
      <c r="F6" s="53" t="s">
        <v>142</v>
      </c>
      <c r="G6" s="53"/>
      <c r="H6" s="18"/>
      <c r="I6" s="18"/>
      <c r="J6" s="18"/>
      <c r="K6" s="18"/>
      <c r="L6" s="18"/>
      <c r="M6" s="18"/>
      <c r="N6" s="18"/>
      <c r="O6" s="18"/>
      <c r="P6" s="18"/>
      <c r="Q6" s="18"/>
      <c r="R6" s="18"/>
      <c r="S6" s="18"/>
      <c r="T6" s="18"/>
      <c r="U6" s="18"/>
      <c r="V6" s="18"/>
      <c r="W6" s="18"/>
      <c r="X6" s="18"/>
      <c r="Y6" s="18"/>
      <c r="Z6" s="18"/>
    </row>
    <row r="7" ht="15.75" customHeight="1">
      <c r="A7" s="55"/>
      <c r="B7" s="56" t="s">
        <v>146</v>
      </c>
      <c r="C7" s="62" t="s">
        <v>147</v>
      </c>
      <c r="D7" s="62" t="s">
        <v>148</v>
      </c>
      <c r="E7" s="62" t="s">
        <v>149</v>
      </c>
      <c r="F7" s="62" t="s">
        <v>150</v>
      </c>
      <c r="G7" s="60"/>
      <c r="H7" s="18"/>
      <c r="I7" s="18"/>
      <c r="J7" s="18"/>
      <c r="K7" s="18"/>
      <c r="L7" s="18"/>
      <c r="M7" s="18"/>
      <c r="N7" s="18"/>
      <c r="O7" s="18"/>
      <c r="P7" s="18"/>
      <c r="Q7" s="18"/>
      <c r="R7" s="18"/>
      <c r="S7" s="18"/>
      <c r="T7" s="18"/>
      <c r="U7" s="18"/>
      <c r="V7" s="18"/>
      <c r="W7" s="18"/>
      <c r="X7" s="18"/>
      <c r="Y7" s="18"/>
      <c r="Z7" s="18"/>
    </row>
    <row r="8" ht="225.0" customHeight="1">
      <c r="A8" s="52" t="s">
        <v>53</v>
      </c>
      <c r="B8" s="53" t="s">
        <v>142</v>
      </c>
      <c r="C8" s="63" t="s">
        <v>142</v>
      </c>
      <c r="D8" s="53"/>
      <c r="E8" s="53"/>
      <c r="F8" s="53"/>
      <c r="G8" s="53"/>
      <c r="H8" s="18"/>
      <c r="I8" s="18"/>
      <c r="J8" s="18"/>
      <c r="K8" s="18"/>
      <c r="L8" s="18"/>
      <c r="M8" s="18"/>
      <c r="N8" s="18"/>
      <c r="O8" s="18"/>
      <c r="P8" s="18"/>
      <c r="Q8" s="18"/>
      <c r="R8" s="18"/>
      <c r="S8" s="18"/>
      <c r="T8" s="18"/>
      <c r="U8" s="18"/>
      <c r="V8" s="18"/>
      <c r="W8" s="18"/>
      <c r="X8" s="18"/>
      <c r="Y8" s="18"/>
      <c r="Z8" s="18"/>
    </row>
    <row r="9" ht="15.75" customHeight="1">
      <c r="A9" s="55"/>
      <c r="B9" s="56" t="s">
        <v>151</v>
      </c>
      <c r="C9" s="56" t="s">
        <v>152</v>
      </c>
      <c r="D9" s="56"/>
      <c r="E9" s="60"/>
      <c r="F9" s="60"/>
      <c r="G9" s="60"/>
      <c r="H9" s="18"/>
      <c r="I9" s="18"/>
      <c r="J9" s="18"/>
      <c r="K9" s="18"/>
      <c r="L9" s="18"/>
      <c r="M9" s="18"/>
      <c r="N9" s="18"/>
      <c r="O9" s="18"/>
      <c r="P9" s="18"/>
      <c r="Q9" s="18"/>
      <c r="R9" s="18"/>
      <c r="S9" s="18"/>
      <c r="T9" s="18"/>
      <c r="U9" s="18"/>
      <c r="V9" s="18"/>
      <c r="W9" s="18"/>
      <c r="X9" s="18"/>
      <c r="Y9" s="18"/>
      <c r="Z9" s="18"/>
    </row>
    <row r="10" ht="229.5" customHeight="1">
      <c r="A10" s="64" t="s">
        <v>59</v>
      </c>
      <c r="B10" s="60"/>
      <c r="C10" s="60"/>
      <c r="D10" s="60"/>
      <c r="E10" s="60"/>
      <c r="F10" s="60"/>
      <c r="G10" s="60"/>
      <c r="H10" s="18"/>
      <c r="I10" s="18"/>
      <c r="J10" s="18"/>
      <c r="K10" s="18"/>
      <c r="L10" s="18"/>
      <c r="M10" s="18"/>
      <c r="N10" s="18"/>
      <c r="O10" s="18"/>
      <c r="P10" s="18"/>
      <c r="Q10" s="18"/>
      <c r="R10" s="18"/>
      <c r="S10" s="18"/>
      <c r="T10" s="18"/>
      <c r="U10" s="18"/>
      <c r="V10" s="18"/>
      <c r="W10" s="18"/>
      <c r="X10" s="18"/>
      <c r="Y10" s="18"/>
      <c r="Z10" s="18"/>
    </row>
    <row r="11" ht="15.75" customHeight="1">
      <c r="A11" s="65"/>
      <c r="B11" s="56" t="s">
        <v>153</v>
      </c>
      <c r="C11" s="62" t="s">
        <v>154</v>
      </c>
      <c r="D11" s="56" t="s">
        <v>155</v>
      </c>
      <c r="E11" s="60"/>
      <c r="F11" s="60"/>
      <c r="G11" s="60"/>
      <c r="H11" s="18"/>
      <c r="I11" s="18"/>
      <c r="J11" s="18"/>
      <c r="K11" s="18"/>
      <c r="L11" s="18"/>
      <c r="M11" s="18"/>
      <c r="N11" s="18"/>
      <c r="O11" s="18"/>
      <c r="P11" s="18"/>
      <c r="Q11" s="18"/>
      <c r="R11" s="18"/>
      <c r="S11" s="18"/>
      <c r="T11" s="18"/>
      <c r="U11" s="18"/>
      <c r="V11" s="18"/>
      <c r="W11" s="18"/>
      <c r="X11" s="18"/>
      <c r="Y11" s="18"/>
      <c r="Z11" s="18"/>
    </row>
    <row r="12" ht="210.75" customHeight="1">
      <c r="A12" s="66" t="s">
        <v>65</v>
      </c>
      <c r="B12" s="67"/>
      <c r="C12" s="67"/>
      <c r="D12" s="67"/>
      <c r="E12" s="67"/>
      <c r="F12" s="67"/>
      <c r="G12" s="67"/>
      <c r="H12" s="18"/>
      <c r="I12" s="18"/>
      <c r="J12" s="18"/>
      <c r="K12" s="18"/>
      <c r="L12" s="18"/>
      <c r="M12" s="18"/>
      <c r="N12" s="18"/>
      <c r="O12" s="18"/>
      <c r="P12" s="18"/>
      <c r="Q12" s="18"/>
      <c r="R12" s="18"/>
      <c r="S12" s="18"/>
      <c r="T12" s="18"/>
      <c r="U12" s="18"/>
      <c r="V12" s="18"/>
      <c r="W12" s="18"/>
      <c r="X12" s="18"/>
      <c r="Y12" s="18"/>
      <c r="Z12" s="18"/>
    </row>
    <row r="13" ht="40.5" customHeight="1">
      <c r="A13" s="68"/>
      <c r="B13" s="69" t="s">
        <v>156</v>
      </c>
      <c r="C13" s="69" t="s">
        <v>157</v>
      </c>
      <c r="D13" s="68"/>
      <c r="E13" s="68"/>
      <c r="F13" s="68"/>
      <c r="G13" s="68"/>
      <c r="H13" s="18"/>
      <c r="I13" s="18"/>
      <c r="J13" s="18"/>
      <c r="K13" s="18"/>
      <c r="L13" s="18"/>
      <c r="M13" s="18"/>
      <c r="N13" s="18"/>
      <c r="O13" s="18"/>
      <c r="P13" s="18"/>
      <c r="Q13" s="18"/>
      <c r="R13" s="18"/>
      <c r="S13" s="18"/>
      <c r="T13" s="18"/>
      <c r="U13" s="18"/>
      <c r="V13" s="18"/>
      <c r="W13" s="18"/>
      <c r="X13" s="18"/>
      <c r="Y13" s="18"/>
      <c r="Z13" s="18"/>
    </row>
    <row r="14" ht="15.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5.75" customHeight="1">
      <c r="A15" s="35"/>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5.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5.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5.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5.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4">
    <mergeCell ref="A4:A5"/>
    <mergeCell ref="A6:A7"/>
    <mergeCell ref="A8:A9"/>
    <mergeCell ref="A10:A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0" width="15.13"/>
  </cols>
  <sheetData>
    <row r="1" ht="15.75" customHeight="1">
      <c r="A1" s="27" t="s">
        <v>158</v>
      </c>
    </row>
    <row r="2" ht="15.75" customHeight="1"/>
    <row r="3" ht="15.75" customHeight="1">
      <c r="A3" s="70" t="s">
        <v>108</v>
      </c>
      <c r="B3" s="70" t="s">
        <v>109</v>
      </c>
      <c r="C3" s="70" t="s">
        <v>110</v>
      </c>
      <c r="D3" s="70" t="s">
        <v>111</v>
      </c>
      <c r="E3" s="70" t="s">
        <v>112</v>
      </c>
      <c r="F3" s="70" t="s">
        <v>113</v>
      </c>
      <c r="G3" s="70" t="s">
        <v>114</v>
      </c>
      <c r="H3" s="70" t="s">
        <v>115</v>
      </c>
      <c r="I3" s="70" t="s">
        <v>159</v>
      </c>
      <c r="J3" s="70" t="s">
        <v>73</v>
      </c>
      <c r="K3" s="70" t="s">
        <v>10</v>
      </c>
      <c r="L3" s="71"/>
      <c r="M3" s="71"/>
      <c r="N3" s="71"/>
      <c r="O3" s="71"/>
      <c r="P3" s="71"/>
      <c r="Q3" s="71"/>
      <c r="R3" s="71"/>
      <c r="S3" s="71"/>
      <c r="T3" s="71"/>
      <c r="U3" s="71"/>
      <c r="V3" s="71"/>
      <c r="W3" s="71"/>
      <c r="X3" s="71"/>
      <c r="Y3" s="71"/>
      <c r="Z3" s="71"/>
    </row>
    <row r="4" ht="15.75" customHeight="1">
      <c r="A4" s="72" t="s">
        <v>119</v>
      </c>
      <c r="B4" s="72" t="s">
        <v>120</v>
      </c>
      <c r="C4" s="72" t="s">
        <v>121</v>
      </c>
      <c r="D4" s="72" t="s">
        <v>121</v>
      </c>
      <c r="E4" s="72" t="s">
        <v>122</v>
      </c>
      <c r="F4" s="72" t="s">
        <v>121</v>
      </c>
      <c r="G4" s="72" t="s">
        <v>121</v>
      </c>
      <c r="H4" s="72" t="s">
        <v>121</v>
      </c>
      <c r="I4" s="72" t="s">
        <v>87</v>
      </c>
      <c r="J4" s="72" t="s">
        <v>160</v>
      </c>
      <c r="K4" s="72" t="s">
        <v>33</v>
      </c>
    </row>
    <row r="5" ht="15.75" customHeight="1">
      <c r="A5" s="72" t="s">
        <v>161</v>
      </c>
      <c r="B5" s="72" t="s">
        <v>126</v>
      </c>
      <c r="C5" s="72" t="s">
        <v>120</v>
      </c>
      <c r="D5" s="72" t="s">
        <v>162</v>
      </c>
      <c r="E5" s="72" t="s">
        <v>125</v>
      </c>
      <c r="F5" s="72" t="s">
        <v>120</v>
      </c>
      <c r="G5" s="72" t="s">
        <v>120</v>
      </c>
      <c r="H5" s="72" t="s">
        <v>120</v>
      </c>
      <c r="I5" s="72" t="s">
        <v>163</v>
      </c>
      <c r="J5" s="72" t="s">
        <v>164</v>
      </c>
      <c r="K5" s="72" t="s">
        <v>19</v>
      </c>
    </row>
    <row r="6" ht="15.75" customHeight="1">
      <c r="A6" s="72" t="s">
        <v>165</v>
      </c>
      <c r="B6" s="72"/>
      <c r="C6" s="72" t="s">
        <v>126</v>
      </c>
      <c r="D6" s="72"/>
      <c r="E6" s="72"/>
      <c r="F6" s="72" t="s">
        <v>126</v>
      </c>
      <c r="G6" s="72" t="s">
        <v>126</v>
      </c>
      <c r="H6" s="72" t="s">
        <v>126</v>
      </c>
      <c r="I6" s="72" t="s">
        <v>166</v>
      </c>
      <c r="J6" s="72" t="s">
        <v>82</v>
      </c>
      <c r="K6" s="72"/>
    </row>
    <row r="7" ht="15.75" customHeight="1">
      <c r="A7" s="72" t="s">
        <v>167</v>
      </c>
      <c r="B7" s="72"/>
      <c r="C7" s="72"/>
      <c r="D7" s="72"/>
      <c r="E7" s="72"/>
      <c r="F7" s="72"/>
      <c r="G7" s="72"/>
      <c r="H7" s="72"/>
      <c r="I7" s="72" t="s">
        <v>80</v>
      </c>
      <c r="J7" s="72" t="s">
        <v>168</v>
      </c>
      <c r="K7" s="7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