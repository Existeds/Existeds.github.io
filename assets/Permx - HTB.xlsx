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Activity - Web" sheetId="1" r:id="rId4"/>
    <sheet state="visible" name="Detail Reporting" sheetId="2" r:id="rId5"/>
    <sheet state="visible" name="Evidence" sheetId="3" r:id="rId6"/>
    <sheet state="visible" name="CVSS" sheetId="4" r:id="rId7"/>
    <sheet state="visible" name="References" sheetId="5" r:id="rId8"/>
  </sheets>
  <definedNames/>
  <calcPr/>
  <extLst>
    <ext uri="GoogleSheetsCustomDataVersion2">
      <go:sheetsCustomData xmlns:go="http://customooxmlschemas.google.com/" r:id="rId9" roundtripDataChecksum="YXJSpRrq+rJCgFrRuO+0BbMa31dguIvR22qQMcjjMqA="/>
    </ext>
  </extLst>
</workbook>
</file>

<file path=xl/sharedStrings.xml><?xml version="1.0" encoding="utf-8"?>
<sst xmlns="http://schemas.openxmlformats.org/spreadsheetml/2006/main" count="232" uniqueCount="133">
  <si>
    <t>Web (WEB) Security Testing</t>
  </si>
  <si>
    <t>Source:</t>
  </si>
  <si>
    <t>https://www.owasp.org/index.php/OWASP_Testing_Guide_v4_Table_of_Contents</t>
  </si>
  <si>
    <t>ID</t>
  </si>
  <si>
    <t>Section</t>
  </si>
  <si>
    <t>Detailed Verification Requirement</t>
  </si>
  <si>
    <t>Tool</t>
  </si>
  <si>
    <t>Testing Procedure</t>
  </si>
  <si>
    <t>Result</t>
  </si>
  <si>
    <t>Activity Date</t>
  </si>
  <si>
    <t>Finding</t>
  </si>
  <si>
    <t>Index</t>
  </si>
  <si>
    <t>Contributor</t>
  </si>
  <si>
    <t>Information Gathering</t>
  </si>
  <si>
    <t>Ping to verify target availability</t>
  </si>
  <si>
    <t>ping</t>
  </si>
  <si>
    <t>Sent ICMP requests to 10.10.11.23 to verify availability</t>
  </si>
  <si>
    <t>Host is reachable with low latency</t>
  </si>
  <si>
    <t>Yes</t>
  </si>
  <si>
    <t>WSTG-INFO-02</t>
  </si>
  <si>
    <t>Pillar, Hensley, Willy, Andragi</t>
  </si>
  <si>
    <t>Port Scanning</t>
  </si>
  <si>
    <t>Scan open ports and services</t>
  </si>
  <si>
    <t>nmap</t>
  </si>
  <si>
    <t>Performed default scripts and version scan using nmap</t>
  </si>
  <si>
    <t>Ports 22 and 80 are open. Services detected: SSH and HTTP</t>
  </si>
  <si>
    <t>WSTG-CONFIG-005</t>
  </si>
  <si>
    <t>Vulnerability Scanning</t>
  </si>
  <si>
    <t>Search for known vulnerabilities</t>
  </si>
  <si>
    <t>searchsploit</t>
  </si>
  <si>
    <t>Used searchsploit to identify potential exploits for services</t>
  </si>
  <si>
    <t>CVE-2023-4220 found for Chamilo LMS</t>
  </si>
  <si>
    <t>WSTG-VULN-001</t>
  </si>
  <si>
    <t>Exploitation</t>
  </si>
  <si>
    <t>Exploit file upload vulnerability</t>
  </si>
  <si>
    <t>curl</t>
  </si>
  <si>
    <t>Uploaded PHP shell via unauthenticated file upload</t>
  </si>
  <si>
    <t>PHP shell successfully uploaded and accessed</t>
  </si>
  <si>
    <t>WSTG-VULN-002</t>
  </si>
  <si>
    <t>Privilege Escalation</t>
  </si>
  <si>
    <t>Gain root access</t>
  </si>
  <si>
    <t>sudo</t>
  </si>
  <si>
    <t>Abused misconfigured sudo permissions to escalate privileges</t>
  </si>
  <si>
    <t>Root access obtained</t>
  </si>
  <si>
    <t>WSTG-CONFIG-009</t>
  </si>
  <si>
    <t>Detail Reporting</t>
  </si>
  <si>
    <t>Title</t>
  </si>
  <si>
    <t>Impacted System</t>
  </si>
  <si>
    <t>Executive Summary</t>
  </si>
  <si>
    <t>Detail (Step-by-Step to Produce)</t>
  </si>
  <si>
    <t>Severity</t>
  </si>
  <si>
    <t>Recommendation</t>
  </si>
  <si>
    <t>Status</t>
  </si>
  <si>
    <t>PIC</t>
  </si>
  <si>
    <t>MOBS-001</t>
  </si>
  <si>
    <t>SQL Injection in Product Search Page</t>
  </si>
  <si>
    <t>E-Commerce Main Page</t>
  </si>
  <si>
    <t>Penyerang akan mampu menyerang database dan mengambil semua data yang dimiliki oleh perusahaan. dari data penjualan, customer, hingga informasi finansial</t>
  </si>
  <si>
    <t>1. Masukkan (kutip 1) di dalam search product di main page
2. Dengan teknik union-based sql injectiion, masukkan payload (1' union select 1,table_name from information_schema.tables ;#) dan akan mengeluarkan semua nama table yang berada di database
3. lanjutkan dengan payload (1' union select 1,column_name from information_schema.columns where table_name = '[nama table]';#) untuk mengeluarkan nama kolom yang berada pada table yang ditargetkan
4. lanjutkan dengan payload (1' union select [nama kolom1],[nama kolom2] from [nama table] ;#) untuk mengeluarkan data sesuai dengan kolom dan table yang ditargetkan</t>
  </si>
  <si>
    <t>Critical</t>
  </si>
  <si>
    <t>mengimplementasikan filter / sanitasi input pada fitur search product</t>
  </si>
  <si>
    <t>Fixed</t>
  </si>
  <si>
    <t>Unauthenticated File Upload</t>
  </si>
  <si>
    <t>Chamilo LMS</t>
  </si>
  <si>
    <t>Chamilo LMS allows unauthenticated users to upload arbitrary files, leading to remote code execution.</t>
  </si>
  <si>
    <t>Use curl to upload a PHP shell via the vulnerable endpoint. Access the uploaded shell through the web interface.</t>
  </si>
  <si>
    <t>Update Chamilo LMS to the latest version and validate file uploads.</t>
  </si>
  <si>
    <t>Confirmed</t>
  </si>
  <si>
    <t>Security Team</t>
  </si>
  <si>
    <t>Misconfigured Sudo Permissions</t>
  </si>
  <si>
    <t>Target Server</t>
  </si>
  <si>
    <t>Sudo configuration allows privilege escalation without proper authentication.</t>
  </si>
  <si>
    <t>Access the sudoers file. Execute a command with root privileges without password.</t>
  </si>
  <si>
    <t>High</t>
  </si>
  <si>
    <t>Restrict sudo access to authorized commands only.</t>
  </si>
  <si>
    <t>Server Admin</t>
  </si>
  <si>
    <t>Open Ports</t>
  </si>
  <si>
    <t>Target Network</t>
  </si>
  <si>
    <t>Ports 22 (SSH) and 80 (HTTP) are exposed, potentially allowing unauthorized access.</t>
  </si>
  <si>
    <t>Perform port scanning using nmap. Confirm services running on open ports.</t>
  </si>
  <si>
    <t>Medium</t>
  </si>
  <si>
    <t>Implement firewall rules to restrict access to required IPs.</t>
  </si>
  <si>
    <t>Network Admin</t>
  </si>
  <si>
    <t>Note:</t>
  </si>
  <si>
    <t>- The risk please take it from "CVSS" sheet.</t>
  </si>
  <si>
    <t>Evidence of Identified Vulnerabilities</t>
  </si>
  <si>
    <t>Evidence 1</t>
  </si>
  <si>
    <t>Evidence 2</t>
  </si>
  <si>
    <t>Evidence 3</t>
  </si>
  <si>
    <t>Evidence 4</t>
  </si>
  <si>
    <t>Evidence 5</t>
  </si>
  <si>
    <t>Evidence 6</t>
  </si>
  <si>
    <t>Captures the initial step of identifying the target machine. The target, named PermX, is located within HackTheBox, and its IP address is confirmed to be 10.10.11.23. The status of the machine is validated as active through a simple ping command, ensuring it is reachable for further testing. This stage lays the groundwork for engaging with the machine.</t>
  </si>
  <si>
    <t>The focus shifts to scanning the target using the nmap tool to enumerate open ports and services. The scan reveals two significant points of interest: port 22, which is running OpenSSH 8.9p1, and port 80, which hosts a web server running Apache HTTP Server version 2.4.52. These findings highlight potential entry points and services that could be exploited during the penetration test.</t>
  </si>
  <si>
    <t>Subdomain enumeration is performed using the ffuf tool. This process uncovers additional subdomains related to the target, specifically www.permx.htb and lms.permx.htb. These subdomains expand the attack surface, providing more opportunities to probe for vulnerabilities. The enumeration forms a critical part of reconnaissance, as it identifies new areas to investigate further.</t>
  </si>
  <si>
    <t>Focuses on exploiting a vulnerability within the Chamilo LMS platform running on the target. A known security flaw, cataloged as CVE-2023-4220, is leveraged to gain unauthorized access. The attack involves exploiting a file upload vulnerability to inject a malicious PHP reverse shell. By carefully crafting an HTTP request using the curl tool, the reverse shell is successfully uploaded, confirming the presence of a critical vulnerability in the system.</t>
  </si>
  <si>
    <t>Demonstrates how the tester gains access to the target's filesystem. The shell, named p0wny-shell, allows navigation through critical directories such as the Chamilo application directory. Sensitive configuration files, including configuration.php, are retrieved. These files reveal valuable information, such as database credentials, which further enable deeper system access and control. This stage showcases the ability to interact with and extract information from the compromised system.</t>
  </si>
  <si>
    <t>Finally, documents the escalation of privileges to gain root access. By exploiting the permissions of a script located at /opt/acl.sh, the tester creates a symbolic link to the sudoers file and modifies permissions to enable unrestricted root privileges. This allows the tester to execute any command as the root user without a password. As a result, the root flag, stored in root.txt, is obtained, marking the full compromise of the target system.</t>
  </si>
  <si>
    <t>MOB-01</t>
  </si>
  <si>
    <t>[put the screen capture here]</t>
  </si>
  <si>
    <t>[put the explanation of the image above]</t>
  </si>
  <si>
    <t xml:space="preserve">- If the evidence is more than the provided columns, please feel free to add. </t>
  </si>
  <si>
    <t>- It does not have to be 6 (six) screen captures, it can be less than that.</t>
  </si>
  <si>
    <t>CVSS 3.1 Calculation</t>
  </si>
  <si>
    <t>Attack Vector (AV)</t>
  </si>
  <si>
    <t>Attack Complexity (AC)</t>
  </si>
  <si>
    <t>Privileges Required (PR)</t>
  </si>
  <si>
    <t>User Interaction (UI)</t>
  </si>
  <si>
    <t>Scope (S)</t>
  </si>
  <si>
    <t>Confidentiality (C)</t>
  </si>
  <si>
    <t>Integrity (I)</t>
  </si>
  <si>
    <t>Availability (A)</t>
  </si>
  <si>
    <t>Score</t>
  </si>
  <si>
    <t>String</t>
  </si>
  <si>
    <t>Network (N)</t>
  </si>
  <si>
    <t>Low (L)</t>
  </si>
  <si>
    <t>None (N)</t>
  </si>
  <si>
    <t>Unchanged (U)</t>
  </si>
  <si>
    <t>High (H)</t>
  </si>
  <si>
    <t>Local (L)</t>
  </si>
  <si>
    <t>Changed (C)</t>
  </si>
  <si>
    <t>CVSS:3.1/AV:L/AC:L/PR:L/UI:N/S:C/C:H/I:H/A:H</t>
  </si>
  <si>
    <t xml:space="preserve"> </t>
  </si>
  <si>
    <t>- The score has to use "https://www.first.org/cvss/calculator/3.0" calculator manually. Afterwards, the result is inputted under "Score" section.</t>
  </si>
  <si>
    <t>Table References</t>
  </si>
  <si>
    <t>Risk</t>
  </si>
  <si>
    <t>Adjacent (A)</t>
  </si>
  <si>
    <t>Required (R)</t>
  </si>
  <si>
    <t>Fixing</t>
  </si>
  <si>
    <t>No</t>
  </si>
  <si>
    <t>Low</t>
  </si>
  <si>
    <t>Physical (P)</t>
  </si>
  <si>
    <t>Closed with notes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</si>
</sst>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m&quot;-&quot;yyyy"/>
  </numFmts>
  <fonts count="19">
    <font>
      <sz val="10.0"/>
      <color rgb="FF000000"/>
      <name val="Arial"/>
      <scheme val="minor"/>
    </font>
    <font>
      <b/>
      <sz val="11.0"/>
      <color theme="1"/>
      <name val="Arial"/>
    </font>
    <font>
      <sz val="10.0"/>
      <color theme="1"/>
      <name val="Arial"/>
    </font>
    <font>
      <u/>
      <sz val="10.0"/>
      <color rgb="FF1155CC"/>
      <name val="Arial"/>
    </font>
    <font>
      <sz val="12.0"/>
      <color rgb="FFFFFFFF"/>
      <name val="Arial"/>
    </font>
    <font>
      <sz val="12.0"/>
      <color rgb="FF252525"/>
      <name val="Arial"/>
    </font>
    <font>
      <b/>
      <sz val="12.0"/>
      <color rgb="FF252525"/>
      <name val="Arial"/>
    </font>
    <font>
      <sz val="12.0"/>
      <color theme="1"/>
      <name val="Arial"/>
    </font>
    <font>
      <b/>
      <sz val="12.0"/>
      <color rgb="FF000000"/>
      <name val="Arial"/>
    </font>
    <font>
      <sz val="11.0"/>
      <color rgb="FF252525"/>
      <name val="Arial"/>
    </font>
    <font>
      <b/>
      <sz val="11.0"/>
      <color rgb="FF252525"/>
      <name val="Arial"/>
    </font>
    <font>
      <u/>
      <sz val="10.0"/>
      <color rgb="FF0000FF"/>
      <name val="Arial"/>
    </font>
    <font>
      <sz val="11.0"/>
      <color rgb="FF000000"/>
      <name val="Monospace"/>
    </font>
    <font>
      <sz val="10.0"/>
      <color rgb="FF000000"/>
      <name val="Roboto"/>
    </font>
    <font>
      <sz val="11.0"/>
      <color rgb="FF000000"/>
      <name val="Arial"/>
    </font>
    <font>
      <b/>
      <sz val="10.0"/>
      <color theme="1"/>
      <name val="Arial"/>
    </font>
    <font/>
    <font>
      <sz val="12.0"/>
      <color rgb="FF000000"/>
      <name val="Inconsolata"/>
    </font>
    <font>
      <sz val="11.0"/>
      <color rgb="FF000000"/>
      <name val="Inconsolata"/>
    </font>
  </fonts>
  <fills count="9">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F9F9F9"/>
        <bgColor rgb="FFF9F9F9"/>
      </patternFill>
    </fill>
    <fill>
      <patternFill patternType="solid">
        <fgColor rgb="FFB45F06"/>
        <bgColor rgb="FFB45F06"/>
      </patternFill>
    </fill>
    <fill>
      <patternFill patternType="solid">
        <fgColor rgb="FF351C75"/>
        <bgColor rgb="FF351C75"/>
      </patternFill>
    </fill>
    <fill>
      <patternFill patternType="solid">
        <fgColor rgb="FF0000FF"/>
        <bgColor rgb="FF0000FF"/>
      </patternFill>
    </fill>
    <fill>
      <patternFill patternType="solid">
        <fgColor rgb="FF6AA84F"/>
        <bgColor rgb="FF6AA84F"/>
      </patternFill>
    </fill>
  </fills>
  <borders count="12">
    <border/>
    <border>
      <left style="hair">
        <color rgb="FF000000"/>
      </left>
      <right style="hair">
        <color rgb="FF000000"/>
      </right>
      <top style="hair">
        <color rgb="FF000000"/>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top/>
      <bottom/>
    </border>
    <border>
      <left style="dotted">
        <color rgb="FF000000"/>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dotted">
        <color rgb="FF000000"/>
      </left>
      <right style="dotted">
        <color rgb="FF000000"/>
      </right>
      <top style="dotted">
        <color rgb="FF000000"/>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Alignment="1" applyFont="1">
      <alignment horizontal="left"/>
    </xf>
    <xf borderId="0" fillId="0" fontId="2" numFmtId="0" xfId="0" applyFont="1"/>
    <xf borderId="0" fillId="0" fontId="3" numFmtId="0" xfId="0" applyFont="1"/>
    <xf borderId="1" fillId="2" fontId="4" numFmtId="0" xfId="0" applyAlignment="1" applyBorder="1" applyFill="1" applyFont="1">
      <alignment horizontal="center" vertical="center"/>
    </xf>
    <xf borderId="2" fillId="3" fontId="5" numFmtId="0" xfId="0" applyAlignment="1" applyBorder="1" applyFill="1" applyFont="1">
      <alignment horizontal="center" vertical="center"/>
    </xf>
    <xf borderId="2" fillId="3" fontId="6" numFmtId="0" xfId="0" applyAlignment="1" applyBorder="1" applyFont="1">
      <alignment vertical="center"/>
    </xf>
    <xf borderId="2" fillId="3" fontId="5"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2" fillId="0" fontId="7" numFmtId="0" xfId="0" applyAlignment="1" applyBorder="1" applyFont="1">
      <alignment readingOrder="0" shrinkToFit="0" vertical="center" wrapText="1"/>
    </xf>
    <xf borderId="2" fillId="0" fontId="7" numFmtId="164" xfId="0" applyAlignment="1" applyBorder="1" applyFont="1" applyNumberFormat="1">
      <alignment horizontal="center" readingOrder="0" shrinkToFit="0" vertical="center" wrapText="1"/>
    </xf>
    <xf borderId="3" fillId="0" fontId="7" numFmtId="0" xfId="0" applyAlignment="1" applyBorder="1" applyFont="1">
      <alignment horizontal="center" readingOrder="0" shrinkToFit="0" vertical="center" wrapText="1"/>
    </xf>
    <xf borderId="2" fillId="0" fontId="7" numFmtId="0" xfId="0" applyAlignment="1" applyBorder="1" applyFont="1">
      <alignment horizontal="center" readingOrder="0" vertical="center"/>
    </xf>
    <xf borderId="0" fillId="0" fontId="2" numFmtId="0" xfId="0" applyAlignment="1" applyFont="1">
      <alignment vertical="top"/>
    </xf>
    <xf borderId="2" fillId="3" fontId="5" numFmtId="0" xfId="0" applyAlignment="1" applyBorder="1" applyFont="1">
      <alignment horizontal="center" readingOrder="0" vertical="center"/>
    </xf>
    <xf borderId="0" fillId="0" fontId="8" numFmtId="0" xfId="0" applyAlignment="1" applyFont="1">
      <alignment readingOrder="0" shrinkToFit="0" vertical="center" wrapText="0"/>
    </xf>
    <xf borderId="2" fillId="3" fontId="5" numFmtId="0" xfId="0" applyAlignment="1" applyBorder="1" applyFont="1">
      <alignment horizontal="left" readingOrder="0" vertical="center"/>
    </xf>
    <xf borderId="3" fillId="0" fontId="7" numFmtId="0" xfId="0" applyAlignment="1" applyBorder="1" applyFont="1">
      <alignment horizontal="center" readingOrder="0" vertical="center"/>
    </xf>
    <xf borderId="2" fillId="3" fontId="6" numFmtId="0" xfId="0" applyAlignment="1" applyBorder="1" applyFont="1">
      <alignment readingOrder="0" vertical="center"/>
    </xf>
    <xf borderId="2" fillId="3" fontId="9" numFmtId="0" xfId="0" applyBorder="1" applyFont="1"/>
    <xf borderId="2" fillId="3" fontId="10" numFmtId="0" xfId="0" applyBorder="1" applyFont="1"/>
    <xf borderId="2" fillId="0" fontId="2" numFmtId="0" xfId="0" applyAlignment="1" applyBorder="1" applyFont="1">
      <alignment shrinkToFit="0" vertical="top" wrapText="1"/>
    </xf>
    <xf borderId="2" fillId="0" fontId="2" numFmtId="164" xfId="0" applyAlignment="1" applyBorder="1" applyFont="1" applyNumberFormat="1">
      <alignment shrinkToFit="0" vertical="top" wrapText="1"/>
    </xf>
    <xf borderId="3" fillId="0" fontId="2" numFmtId="0" xfId="0" applyBorder="1" applyFont="1"/>
    <xf borderId="2" fillId="0" fontId="2" numFmtId="0" xfId="0" applyAlignment="1" applyBorder="1" applyFont="1">
      <alignment vertical="top"/>
    </xf>
    <xf borderId="3" fillId="0" fontId="2" numFmtId="0" xfId="0" applyAlignment="1" applyBorder="1" applyFont="1">
      <alignment shrinkToFit="0" vertical="top" wrapText="1"/>
    </xf>
    <xf borderId="2" fillId="0" fontId="2" numFmtId="0" xfId="0" applyBorder="1" applyFont="1"/>
    <xf borderId="4" fillId="3" fontId="9" numFmtId="0" xfId="0" applyBorder="1" applyFont="1"/>
    <xf borderId="4" fillId="3" fontId="10" numFmtId="0" xfId="0" applyBorder="1" applyFont="1"/>
    <xf borderId="5" fillId="0" fontId="2" numFmtId="0" xfId="0" applyAlignment="1" applyBorder="1" applyFont="1">
      <alignment shrinkToFit="0" vertical="top" wrapText="1"/>
    </xf>
    <xf borderId="5" fillId="0" fontId="2" numFmtId="164" xfId="0" applyAlignment="1" applyBorder="1" applyFont="1" applyNumberFormat="1">
      <alignment shrinkToFit="0" vertical="top" wrapText="1"/>
    </xf>
    <xf borderId="2" fillId="0" fontId="2" numFmtId="0" xfId="0" applyAlignment="1" applyBorder="1" applyFont="1">
      <alignment shrinkToFit="0" wrapText="1"/>
    </xf>
    <xf borderId="2" fillId="0" fontId="11" numFmtId="0" xfId="0" applyAlignment="1" applyBorder="1" applyFont="1">
      <alignment shrinkToFit="0" wrapText="1"/>
    </xf>
    <xf borderId="6" fillId="4" fontId="12" numFmtId="0" xfId="0" applyBorder="1" applyFill="1" applyFont="1"/>
    <xf borderId="6" fillId="3" fontId="13" numFmtId="0" xfId="0" applyBorder="1" applyFont="1"/>
    <xf borderId="0" fillId="0" fontId="2" numFmtId="0" xfId="0" applyAlignment="1" applyFont="1">
      <alignment shrinkToFit="0" wrapText="1"/>
    </xf>
    <xf borderId="6" fillId="3" fontId="9" numFmtId="0" xfId="0" applyAlignment="1" applyBorder="1" applyFont="1">
      <alignment shrinkToFit="0" wrapText="1"/>
    </xf>
    <xf borderId="6" fillId="3" fontId="14" numFmtId="0" xfId="0" applyAlignment="1" applyBorder="1" applyFont="1">
      <alignment shrinkToFit="0" wrapText="1"/>
    </xf>
    <xf borderId="7" fillId="5" fontId="4" numFmtId="0" xfId="0" applyAlignment="1" applyBorder="1" applyFill="1" applyFont="1">
      <alignment horizontal="center" vertical="center"/>
    </xf>
    <xf borderId="7" fillId="0" fontId="7"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7" fillId="0" fontId="7" numFmtId="0" xfId="0" applyAlignment="1" applyBorder="1" applyFont="1">
      <alignment horizontal="left" readingOrder="0" shrinkToFit="0" vertical="center" wrapText="1"/>
    </xf>
    <xf borderId="7" fillId="0" fontId="2" numFmtId="0" xfId="0" applyAlignment="1" applyBorder="1" applyFont="1">
      <alignment shrinkToFit="0" vertical="top" wrapText="1"/>
    </xf>
    <xf borderId="0" fillId="0" fontId="15" numFmtId="0" xfId="0" applyAlignment="1" applyFont="1">
      <alignment shrinkToFit="0" vertical="top" wrapText="1"/>
    </xf>
    <xf quotePrefix="1" borderId="0" fillId="0" fontId="2" numFmtId="0" xfId="0" applyFont="1"/>
    <xf borderId="0" fillId="0" fontId="1" numFmtId="0" xfId="0" applyAlignment="1" applyFont="1">
      <alignment vertical="top"/>
    </xf>
    <xf borderId="8" fillId="6" fontId="4" numFmtId="0" xfId="0" applyAlignment="1" applyBorder="1" applyFill="1" applyFont="1">
      <alignment horizontal="center" vertical="center"/>
    </xf>
    <xf borderId="9" fillId="0" fontId="7" numFmtId="0" xfId="0" applyAlignment="1" applyBorder="1" applyFont="1">
      <alignment horizontal="center" vertical="center"/>
    </xf>
    <xf borderId="8" fillId="0" fontId="2" numFmtId="0" xfId="0" applyAlignment="1" applyBorder="1" applyFont="1">
      <alignment horizontal="center" vertical="center"/>
    </xf>
    <xf borderId="10" fillId="0" fontId="16" numFmtId="0" xfId="0" applyBorder="1" applyFont="1"/>
    <xf borderId="8" fillId="0" fontId="7" numFmtId="0" xfId="0" applyAlignment="1" applyBorder="1" applyFont="1">
      <alignment horizontal="left" readingOrder="0" shrinkToFit="0" vertical="center" wrapText="1"/>
    </xf>
    <xf borderId="9" fillId="0" fontId="2" numFmtId="0" xfId="0" applyAlignment="1" applyBorder="1" applyFont="1">
      <alignment vertical="top"/>
    </xf>
    <xf borderId="8" fillId="0" fontId="2" numFmtId="0" xfId="0" applyAlignment="1" applyBorder="1" applyFont="1">
      <alignment vertical="top"/>
    </xf>
    <xf quotePrefix="1" borderId="0" fillId="0" fontId="2" numFmtId="0" xfId="0" applyAlignment="1" applyFont="1">
      <alignment vertical="top"/>
    </xf>
    <xf borderId="11" fillId="7" fontId="4" numFmtId="0" xfId="0" applyAlignment="1" applyBorder="1" applyFill="1" applyFont="1">
      <alignment horizontal="center" shrinkToFit="0" vertical="center" wrapText="1"/>
    </xf>
    <xf borderId="0" fillId="0" fontId="2" numFmtId="0" xfId="0" applyAlignment="1" applyFont="1">
      <alignment shrinkToFit="0" vertical="top" wrapText="1"/>
    </xf>
    <xf borderId="2" fillId="3" fontId="17" numFmtId="0" xfId="0" applyAlignment="1" applyBorder="1" applyFont="1">
      <alignment horizontal="center" vertical="center"/>
    </xf>
    <xf borderId="2" fillId="0" fontId="7"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2" fillId="3" fontId="17" numFmtId="0" xfId="0" applyAlignment="1" applyBorder="1" applyFont="1">
      <alignment horizontal="center" readingOrder="0" vertical="center"/>
    </xf>
    <xf borderId="2" fillId="3" fontId="18" numFmtId="0" xfId="0" applyBorder="1" applyFont="1"/>
    <xf borderId="7" fillId="8" fontId="4" numFmtId="0" xfId="0" applyAlignment="1" applyBorder="1" applyFill="1" applyFont="1">
      <alignment horizontal="center" shrinkToFit="0" vertical="center" wrapText="1"/>
    </xf>
    <xf borderId="0" fillId="0" fontId="2" numFmtId="0" xfId="0" applyAlignment="1" applyFont="1">
      <alignment shrinkToFit="0" vertical="center" wrapText="1"/>
    </xf>
    <xf borderId="7"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6.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3819525" cy="15240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3819525" cy="1400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819525" cy="11144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3</xdr:row>
      <xdr:rowOff>0</xdr:rowOff>
    </xdr:from>
    <xdr:ext cx="3819525" cy="10763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3</xdr:row>
      <xdr:rowOff>0</xdr:rowOff>
    </xdr:from>
    <xdr:ext cx="3819525" cy="17145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3</xdr:row>
      <xdr:rowOff>0</xdr:rowOff>
    </xdr:from>
    <xdr:ext cx="3819525" cy="8096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wasp.org/index.php/OWASP_Testing_Guide_v4_Table_of_Conten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5.63"/>
    <col customWidth="1" min="2" max="2" width="23.13"/>
    <col customWidth="1" min="3" max="3" width="32.88"/>
    <col customWidth="1" min="4" max="4" width="16.25"/>
    <col customWidth="1" min="5" max="5" width="47.0"/>
    <col customWidth="1" min="6" max="6" width="19.0"/>
    <col customWidth="1" min="7" max="7" width="14.25"/>
    <col customWidth="1" min="8" max="8" width="8.75"/>
    <col customWidth="1" min="9" max="9" width="21.38"/>
    <col customWidth="1" min="10" max="10" width="32.25"/>
  </cols>
  <sheetData>
    <row r="1" ht="15.75" customHeight="1">
      <c r="A1" s="1" t="s">
        <v>0</v>
      </c>
      <c r="B1" s="2"/>
    </row>
    <row r="2" ht="15.75" customHeight="1">
      <c r="A2" s="3"/>
      <c r="B2" s="4" t="s">
        <v>1</v>
      </c>
      <c r="C2" s="5" t="s">
        <v>2</v>
      </c>
    </row>
    <row r="3" ht="24.75" customHeight="1">
      <c r="A3" s="6" t="s">
        <v>3</v>
      </c>
      <c r="B3" s="6" t="s">
        <v>4</v>
      </c>
      <c r="C3" s="6" t="s">
        <v>5</v>
      </c>
      <c r="D3" s="6" t="s">
        <v>6</v>
      </c>
      <c r="E3" s="6" t="s">
        <v>7</v>
      </c>
      <c r="F3" s="6" t="s">
        <v>8</v>
      </c>
      <c r="G3" s="6" t="s">
        <v>9</v>
      </c>
      <c r="H3" s="6" t="s">
        <v>10</v>
      </c>
      <c r="I3" s="6" t="s">
        <v>11</v>
      </c>
      <c r="J3" s="6" t="s">
        <v>12</v>
      </c>
    </row>
    <row r="4" ht="39.75" customHeight="1">
      <c r="A4" s="7">
        <v>1.1</v>
      </c>
      <c r="B4" s="8" t="s">
        <v>13</v>
      </c>
      <c r="C4" s="9" t="s">
        <v>14</v>
      </c>
      <c r="D4" s="10" t="s">
        <v>15</v>
      </c>
      <c r="E4" s="11" t="s">
        <v>16</v>
      </c>
      <c r="F4" s="12" t="s">
        <v>17</v>
      </c>
      <c r="G4" s="13">
        <v>45621.0</v>
      </c>
      <c r="H4" s="12" t="s">
        <v>18</v>
      </c>
      <c r="I4" s="14" t="s">
        <v>19</v>
      </c>
      <c r="J4" s="15" t="s">
        <v>20</v>
      </c>
      <c r="K4" s="16"/>
      <c r="L4" s="16"/>
      <c r="M4" s="16"/>
      <c r="N4" s="16"/>
      <c r="O4" s="16"/>
      <c r="P4" s="16"/>
      <c r="Q4" s="16"/>
      <c r="R4" s="16"/>
      <c r="S4" s="16"/>
      <c r="T4" s="16"/>
      <c r="U4" s="16"/>
      <c r="V4" s="16"/>
      <c r="W4" s="16"/>
      <c r="X4" s="16"/>
      <c r="Y4" s="16"/>
      <c r="Z4" s="16"/>
      <c r="AA4" s="16"/>
      <c r="AB4" s="16"/>
    </row>
    <row r="5" ht="15.75" customHeight="1">
      <c r="A5" s="17">
        <v>1.2</v>
      </c>
      <c r="B5" s="18" t="s">
        <v>21</v>
      </c>
      <c r="C5" s="19" t="s">
        <v>22</v>
      </c>
      <c r="D5" s="10" t="s">
        <v>23</v>
      </c>
      <c r="E5" s="11" t="s">
        <v>24</v>
      </c>
      <c r="F5" s="12" t="s">
        <v>25</v>
      </c>
      <c r="G5" s="13">
        <v>45622.0</v>
      </c>
      <c r="H5" s="12" t="s">
        <v>18</v>
      </c>
      <c r="I5" s="20" t="s">
        <v>26</v>
      </c>
      <c r="J5" s="15" t="s">
        <v>20</v>
      </c>
      <c r="K5" s="16"/>
      <c r="L5" s="16"/>
      <c r="M5" s="16"/>
      <c r="N5" s="16"/>
      <c r="O5" s="16"/>
      <c r="P5" s="16"/>
      <c r="Q5" s="16"/>
      <c r="R5" s="16"/>
      <c r="S5" s="16"/>
      <c r="T5" s="16"/>
      <c r="U5" s="16"/>
      <c r="V5" s="16"/>
      <c r="W5" s="16"/>
      <c r="X5" s="16"/>
      <c r="Y5" s="16"/>
      <c r="Z5" s="16"/>
      <c r="AA5" s="16"/>
      <c r="AB5" s="16"/>
    </row>
    <row r="6" ht="15.75" customHeight="1">
      <c r="A6" s="17">
        <v>1.3</v>
      </c>
      <c r="B6" s="21" t="s">
        <v>27</v>
      </c>
      <c r="C6" s="19" t="s">
        <v>28</v>
      </c>
      <c r="D6" s="10" t="s">
        <v>29</v>
      </c>
      <c r="E6" s="11" t="s">
        <v>30</v>
      </c>
      <c r="F6" s="12" t="s">
        <v>31</v>
      </c>
      <c r="G6" s="13">
        <v>45623.0</v>
      </c>
      <c r="H6" s="12" t="s">
        <v>18</v>
      </c>
      <c r="I6" s="14" t="s">
        <v>32</v>
      </c>
      <c r="J6" s="15" t="s">
        <v>20</v>
      </c>
      <c r="K6" s="16"/>
      <c r="L6" s="16"/>
      <c r="M6" s="16"/>
      <c r="N6" s="16"/>
      <c r="O6" s="16"/>
      <c r="P6" s="16"/>
      <c r="Q6" s="16"/>
      <c r="R6" s="16"/>
      <c r="S6" s="16"/>
      <c r="T6" s="16"/>
      <c r="U6" s="16"/>
      <c r="V6" s="16"/>
      <c r="W6" s="16"/>
      <c r="X6" s="16"/>
      <c r="Y6" s="16"/>
      <c r="Z6" s="16"/>
      <c r="AA6" s="16"/>
      <c r="AB6" s="16"/>
    </row>
    <row r="7" ht="15.75" customHeight="1">
      <c r="A7" s="17">
        <v>1.4</v>
      </c>
      <c r="B7" s="21" t="s">
        <v>33</v>
      </c>
      <c r="C7" s="19" t="s">
        <v>34</v>
      </c>
      <c r="D7" s="10" t="s">
        <v>35</v>
      </c>
      <c r="E7" s="11" t="s">
        <v>36</v>
      </c>
      <c r="F7" s="12" t="s">
        <v>37</v>
      </c>
      <c r="G7" s="13">
        <v>45624.0</v>
      </c>
      <c r="H7" s="12" t="s">
        <v>18</v>
      </c>
      <c r="I7" s="20" t="s">
        <v>38</v>
      </c>
      <c r="J7" s="15" t="s">
        <v>20</v>
      </c>
      <c r="K7" s="16"/>
      <c r="L7" s="16"/>
      <c r="M7" s="16"/>
      <c r="N7" s="16"/>
      <c r="O7" s="16"/>
      <c r="P7" s="16"/>
      <c r="Q7" s="16"/>
      <c r="R7" s="16"/>
      <c r="S7" s="16"/>
      <c r="T7" s="16"/>
      <c r="U7" s="16"/>
      <c r="V7" s="16"/>
      <c r="W7" s="16"/>
      <c r="X7" s="16"/>
      <c r="Y7" s="16"/>
      <c r="Z7" s="16"/>
      <c r="AA7" s="16"/>
      <c r="AB7" s="16"/>
    </row>
    <row r="8" ht="39.0" customHeight="1">
      <c r="A8" s="17">
        <v>1.5</v>
      </c>
      <c r="B8" s="21" t="s">
        <v>39</v>
      </c>
      <c r="C8" s="19" t="s">
        <v>40</v>
      </c>
      <c r="D8" s="10" t="s">
        <v>41</v>
      </c>
      <c r="E8" s="11" t="s">
        <v>42</v>
      </c>
      <c r="F8" s="12" t="s">
        <v>43</v>
      </c>
      <c r="G8" s="13">
        <v>45625.0</v>
      </c>
      <c r="H8" s="12" t="s">
        <v>18</v>
      </c>
      <c r="I8" s="14" t="s">
        <v>44</v>
      </c>
      <c r="J8" s="15" t="s">
        <v>20</v>
      </c>
      <c r="K8" s="16"/>
      <c r="L8" s="16"/>
      <c r="M8" s="16"/>
      <c r="N8" s="16"/>
      <c r="O8" s="16"/>
      <c r="P8" s="16"/>
      <c r="Q8" s="16"/>
      <c r="R8" s="16"/>
      <c r="S8" s="16"/>
      <c r="T8" s="16"/>
      <c r="U8" s="16"/>
      <c r="V8" s="16"/>
      <c r="W8" s="16"/>
      <c r="X8" s="16"/>
      <c r="Y8" s="16"/>
      <c r="Z8" s="16"/>
      <c r="AA8" s="16"/>
      <c r="AB8" s="16"/>
    </row>
    <row r="9" ht="15.75" customHeight="1">
      <c r="A9" s="22"/>
      <c r="B9" s="23"/>
      <c r="C9" s="22"/>
      <c r="D9" s="24"/>
      <c r="E9" s="24"/>
      <c r="F9" s="24"/>
      <c r="G9" s="25"/>
      <c r="H9" s="24"/>
      <c r="I9" s="26"/>
      <c r="J9" s="27"/>
      <c r="K9" s="16"/>
      <c r="L9" s="16"/>
      <c r="M9" s="16"/>
      <c r="N9" s="16"/>
      <c r="O9" s="16"/>
      <c r="P9" s="16"/>
      <c r="Q9" s="16"/>
      <c r="R9" s="16"/>
      <c r="S9" s="16"/>
      <c r="T9" s="16"/>
      <c r="U9" s="16"/>
      <c r="V9" s="16"/>
      <c r="W9" s="16"/>
      <c r="X9" s="16"/>
      <c r="Y9" s="16"/>
      <c r="Z9" s="16"/>
      <c r="AA9" s="16"/>
      <c r="AB9" s="16"/>
    </row>
    <row r="10" ht="15.75" customHeight="1">
      <c r="A10" s="22"/>
      <c r="B10" s="23"/>
      <c r="C10" s="22"/>
      <c r="D10" s="24"/>
      <c r="E10" s="24"/>
      <c r="F10" s="24"/>
      <c r="G10" s="25"/>
      <c r="H10" s="24"/>
      <c r="I10" s="28"/>
      <c r="J10" s="27"/>
      <c r="K10" s="16"/>
      <c r="L10" s="16"/>
      <c r="M10" s="16"/>
      <c r="N10" s="16"/>
      <c r="O10" s="16"/>
      <c r="P10" s="16"/>
      <c r="Q10" s="16"/>
      <c r="R10" s="16"/>
      <c r="S10" s="16"/>
      <c r="T10" s="16"/>
      <c r="U10" s="16"/>
      <c r="V10" s="16"/>
      <c r="W10" s="16"/>
      <c r="X10" s="16"/>
      <c r="Y10" s="16"/>
      <c r="Z10" s="16"/>
      <c r="AA10" s="16"/>
      <c r="AB10" s="16"/>
    </row>
    <row r="11" ht="15.75" customHeight="1">
      <c r="A11" s="22"/>
      <c r="B11" s="23"/>
      <c r="C11" s="22"/>
      <c r="D11" s="24"/>
      <c r="E11" s="24"/>
      <c r="F11" s="24"/>
      <c r="G11" s="25"/>
      <c r="H11" s="24"/>
      <c r="I11" s="26"/>
      <c r="J11" s="27"/>
      <c r="K11" s="16"/>
      <c r="L11" s="16"/>
      <c r="M11" s="16"/>
      <c r="N11" s="16"/>
      <c r="O11" s="16"/>
      <c r="P11" s="16"/>
      <c r="Q11" s="16"/>
      <c r="R11" s="16"/>
      <c r="S11" s="16"/>
      <c r="T11" s="16"/>
      <c r="U11" s="16"/>
      <c r="V11" s="16"/>
      <c r="W11" s="16"/>
      <c r="X11" s="16"/>
      <c r="Y11" s="16"/>
      <c r="Z11" s="16"/>
      <c r="AA11" s="16"/>
      <c r="AB11" s="16"/>
    </row>
    <row r="12" ht="15.75" customHeight="1">
      <c r="A12" s="22"/>
      <c r="B12" s="23"/>
      <c r="C12" s="22"/>
      <c r="D12" s="24"/>
      <c r="E12" s="24"/>
      <c r="F12" s="24"/>
      <c r="G12" s="25"/>
      <c r="H12" s="24"/>
      <c r="I12" s="28"/>
      <c r="J12" s="27"/>
      <c r="K12" s="16"/>
      <c r="L12" s="16"/>
      <c r="M12" s="16"/>
      <c r="N12" s="16"/>
      <c r="O12" s="16"/>
      <c r="P12" s="16"/>
      <c r="Q12" s="16"/>
      <c r="R12" s="16"/>
      <c r="S12" s="16"/>
      <c r="T12" s="16"/>
      <c r="U12" s="16"/>
      <c r="V12" s="16"/>
      <c r="W12" s="16"/>
      <c r="X12" s="16"/>
      <c r="Y12" s="16"/>
      <c r="Z12" s="16"/>
      <c r="AA12" s="16"/>
      <c r="AB12" s="16"/>
    </row>
    <row r="13" ht="15.75" customHeight="1">
      <c r="A13" s="22"/>
      <c r="B13" s="23"/>
      <c r="C13" s="22"/>
      <c r="D13" s="24"/>
      <c r="E13" s="24"/>
      <c r="F13" s="24"/>
      <c r="G13" s="25"/>
      <c r="H13" s="24"/>
      <c r="I13" s="26"/>
      <c r="J13" s="29"/>
      <c r="K13" s="16"/>
      <c r="L13" s="16"/>
      <c r="M13" s="16"/>
      <c r="N13" s="16"/>
      <c r="O13" s="16"/>
      <c r="P13" s="16"/>
      <c r="Q13" s="16"/>
      <c r="R13" s="16"/>
      <c r="S13" s="16"/>
      <c r="T13" s="16"/>
      <c r="U13" s="16"/>
      <c r="V13" s="16"/>
      <c r="W13" s="16"/>
      <c r="X13" s="16"/>
      <c r="Y13" s="16"/>
      <c r="Z13" s="16"/>
      <c r="AA13" s="16"/>
      <c r="AB13" s="16"/>
    </row>
    <row r="14" ht="15.75" customHeight="1">
      <c r="A14" s="22"/>
      <c r="B14" s="23"/>
      <c r="C14" s="22"/>
      <c r="D14" s="24"/>
      <c r="E14" s="24"/>
      <c r="F14" s="24"/>
      <c r="G14" s="25"/>
      <c r="H14" s="24"/>
      <c r="I14" s="28"/>
      <c r="J14" s="29"/>
      <c r="K14" s="16"/>
      <c r="L14" s="16"/>
      <c r="M14" s="16"/>
      <c r="N14" s="16"/>
      <c r="O14" s="16"/>
      <c r="P14" s="16"/>
      <c r="Q14" s="16"/>
      <c r="R14" s="16"/>
      <c r="S14" s="16"/>
      <c r="T14" s="16"/>
      <c r="U14" s="16"/>
      <c r="V14" s="16"/>
      <c r="W14" s="16"/>
      <c r="X14" s="16"/>
      <c r="Y14" s="16"/>
      <c r="Z14" s="16"/>
      <c r="AA14" s="16"/>
      <c r="AB14" s="16"/>
    </row>
    <row r="15" ht="15.75" customHeight="1">
      <c r="A15" s="22"/>
      <c r="B15" s="23"/>
      <c r="C15" s="22"/>
      <c r="D15" s="24"/>
      <c r="E15" s="24"/>
      <c r="F15" s="24"/>
      <c r="G15" s="25"/>
      <c r="H15" s="24"/>
      <c r="I15" s="26"/>
      <c r="J15" s="29"/>
      <c r="K15" s="16"/>
      <c r="L15" s="16"/>
      <c r="M15" s="16"/>
      <c r="N15" s="16"/>
      <c r="O15" s="16"/>
      <c r="P15" s="16"/>
      <c r="Q15" s="16"/>
      <c r="R15" s="16"/>
      <c r="S15" s="16"/>
      <c r="T15" s="16"/>
      <c r="U15" s="16"/>
      <c r="V15" s="16"/>
      <c r="W15" s="16"/>
      <c r="X15" s="16"/>
      <c r="Y15" s="16"/>
      <c r="Z15" s="16"/>
      <c r="AA15" s="16"/>
      <c r="AB15" s="16"/>
    </row>
    <row r="16" ht="15.75" customHeight="1">
      <c r="A16" s="22"/>
      <c r="B16" s="23"/>
      <c r="C16" s="22"/>
      <c r="D16" s="24"/>
      <c r="E16" s="24"/>
      <c r="F16" s="24"/>
      <c r="G16" s="25"/>
      <c r="H16" s="24"/>
      <c r="I16" s="28"/>
      <c r="J16" s="27"/>
      <c r="K16" s="16"/>
      <c r="L16" s="16"/>
      <c r="M16" s="16"/>
      <c r="N16" s="16"/>
      <c r="O16" s="16"/>
      <c r="P16" s="16"/>
      <c r="Q16" s="16"/>
      <c r="R16" s="16"/>
      <c r="S16" s="16"/>
      <c r="T16" s="16"/>
      <c r="U16" s="16"/>
      <c r="V16" s="16"/>
      <c r="W16" s="16"/>
      <c r="X16" s="16"/>
      <c r="Y16" s="16"/>
      <c r="Z16" s="16"/>
      <c r="AA16" s="16"/>
      <c r="AB16" s="16"/>
    </row>
    <row r="17" ht="15.75" customHeight="1">
      <c r="A17" s="22"/>
      <c r="B17" s="23"/>
      <c r="C17" s="22"/>
      <c r="D17" s="24"/>
      <c r="E17" s="24"/>
      <c r="F17" s="24"/>
      <c r="G17" s="25"/>
      <c r="H17" s="24"/>
      <c r="I17" s="26"/>
      <c r="J17" s="29"/>
      <c r="K17" s="16"/>
      <c r="L17" s="16"/>
      <c r="M17" s="16"/>
      <c r="N17" s="16"/>
      <c r="O17" s="16"/>
      <c r="P17" s="16"/>
      <c r="Q17" s="16"/>
      <c r="R17" s="16"/>
      <c r="S17" s="16"/>
      <c r="T17" s="16"/>
      <c r="U17" s="16"/>
      <c r="V17" s="16"/>
      <c r="W17" s="16"/>
      <c r="X17" s="16"/>
      <c r="Y17" s="16"/>
      <c r="Z17" s="16"/>
      <c r="AA17" s="16"/>
      <c r="AB17" s="16"/>
    </row>
    <row r="18" ht="15.75" customHeight="1">
      <c r="A18" s="22"/>
      <c r="B18" s="23"/>
      <c r="C18" s="22"/>
      <c r="D18" s="24"/>
      <c r="E18" s="24"/>
      <c r="F18" s="24"/>
      <c r="G18" s="25"/>
      <c r="H18" s="24"/>
      <c r="I18" s="28"/>
      <c r="J18" s="29"/>
      <c r="K18" s="16"/>
      <c r="L18" s="16"/>
      <c r="M18" s="16"/>
      <c r="N18" s="16"/>
      <c r="O18" s="16"/>
      <c r="P18" s="16"/>
      <c r="Q18" s="16"/>
      <c r="R18" s="16"/>
      <c r="S18" s="16"/>
      <c r="T18" s="16"/>
      <c r="U18" s="16"/>
      <c r="V18" s="16"/>
      <c r="W18" s="16"/>
      <c r="X18" s="16"/>
      <c r="Y18" s="16"/>
      <c r="Z18" s="16"/>
      <c r="AA18" s="16"/>
      <c r="AB18" s="16"/>
    </row>
    <row r="19" ht="15.75" customHeight="1">
      <c r="A19" s="22"/>
      <c r="B19" s="23"/>
      <c r="C19" s="22"/>
      <c r="D19" s="24"/>
      <c r="E19" s="24"/>
      <c r="F19" s="24"/>
      <c r="G19" s="25"/>
      <c r="H19" s="24"/>
      <c r="I19" s="26"/>
      <c r="J19" s="29"/>
      <c r="K19" s="16"/>
      <c r="L19" s="16"/>
      <c r="M19" s="16"/>
      <c r="N19" s="16"/>
      <c r="O19" s="16"/>
      <c r="P19" s="16"/>
      <c r="Q19" s="16"/>
      <c r="R19" s="16"/>
      <c r="S19" s="16"/>
      <c r="T19" s="16"/>
      <c r="U19" s="16"/>
      <c r="V19" s="16"/>
      <c r="W19" s="16"/>
      <c r="X19" s="16"/>
      <c r="Y19" s="16"/>
      <c r="Z19" s="16"/>
      <c r="AA19" s="16"/>
      <c r="AB19" s="16"/>
    </row>
    <row r="20" ht="15.75" customHeight="1">
      <c r="A20" s="22"/>
      <c r="B20" s="23"/>
      <c r="C20" s="22"/>
      <c r="D20" s="24"/>
      <c r="E20" s="24"/>
      <c r="F20" s="24"/>
      <c r="G20" s="25"/>
      <c r="H20" s="24"/>
      <c r="I20" s="28"/>
      <c r="J20" s="29"/>
      <c r="K20" s="16"/>
      <c r="L20" s="16"/>
      <c r="M20" s="16"/>
      <c r="N20" s="16"/>
      <c r="O20" s="16"/>
      <c r="P20" s="16"/>
      <c r="Q20" s="16"/>
      <c r="R20" s="16"/>
      <c r="S20" s="16"/>
      <c r="T20" s="16"/>
      <c r="U20" s="16"/>
      <c r="V20" s="16"/>
      <c r="W20" s="16"/>
      <c r="X20" s="16"/>
      <c r="Y20" s="16"/>
      <c r="Z20" s="16"/>
      <c r="AA20" s="16"/>
      <c r="AB20" s="16"/>
    </row>
    <row r="21" ht="15.75" customHeight="1">
      <c r="A21" s="22"/>
      <c r="B21" s="23"/>
      <c r="C21" s="22"/>
      <c r="D21" s="24"/>
      <c r="E21" s="24"/>
      <c r="F21" s="24"/>
      <c r="G21" s="25"/>
      <c r="H21" s="24"/>
      <c r="I21" s="26"/>
      <c r="J21" s="27"/>
      <c r="K21" s="16"/>
      <c r="L21" s="16"/>
      <c r="M21" s="16"/>
      <c r="N21" s="16"/>
      <c r="O21" s="16"/>
      <c r="P21" s="16"/>
      <c r="Q21" s="16"/>
      <c r="R21" s="16"/>
      <c r="S21" s="16"/>
      <c r="T21" s="16"/>
      <c r="U21" s="16"/>
      <c r="V21" s="16"/>
      <c r="W21" s="16"/>
      <c r="X21" s="16"/>
      <c r="Y21" s="16"/>
      <c r="Z21" s="16"/>
      <c r="AA21" s="16"/>
      <c r="AB21" s="16"/>
    </row>
    <row r="22" ht="15.75" customHeight="1">
      <c r="A22" s="22"/>
      <c r="B22" s="23"/>
      <c r="C22" s="22"/>
      <c r="D22" s="24"/>
      <c r="E22" s="29"/>
      <c r="F22" s="24"/>
      <c r="G22" s="25"/>
      <c r="H22" s="24"/>
      <c r="I22" s="28"/>
      <c r="J22" s="27"/>
      <c r="K22" s="16"/>
      <c r="L22" s="16"/>
      <c r="M22" s="16"/>
      <c r="N22" s="16"/>
      <c r="O22" s="16"/>
      <c r="P22" s="16"/>
      <c r="Q22" s="16"/>
      <c r="R22" s="16"/>
      <c r="S22" s="16"/>
      <c r="T22" s="16"/>
      <c r="U22" s="16"/>
      <c r="V22" s="16"/>
      <c r="W22" s="16"/>
      <c r="X22" s="16"/>
      <c r="Y22" s="16"/>
      <c r="Z22" s="16"/>
      <c r="AA22" s="16"/>
      <c r="AB22" s="16"/>
    </row>
    <row r="23" ht="15.75" customHeight="1">
      <c r="A23" s="22"/>
      <c r="B23" s="23"/>
      <c r="C23" s="22"/>
      <c r="D23" s="24"/>
      <c r="E23" s="24"/>
      <c r="F23" s="24"/>
      <c r="G23" s="25"/>
      <c r="H23" s="24"/>
      <c r="I23" s="26"/>
      <c r="J23" s="27"/>
      <c r="K23" s="16"/>
      <c r="L23" s="16"/>
      <c r="M23" s="16"/>
      <c r="N23" s="16"/>
      <c r="O23" s="16"/>
      <c r="P23" s="16"/>
      <c r="Q23" s="16"/>
      <c r="R23" s="16"/>
      <c r="S23" s="16"/>
      <c r="T23" s="16"/>
      <c r="U23" s="16"/>
      <c r="V23" s="16"/>
      <c r="W23" s="16"/>
      <c r="X23" s="16"/>
      <c r="Y23" s="16"/>
      <c r="Z23" s="16"/>
      <c r="AA23" s="16"/>
      <c r="AB23" s="16"/>
    </row>
    <row r="24" ht="15.75" customHeight="1">
      <c r="A24" s="22"/>
      <c r="B24" s="23"/>
      <c r="C24" s="22"/>
      <c r="D24" s="24"/>
      <c r="E24" s="24"/>
      <c r="F24" s="24"/>
      <c r="G24" s="25"/>
      <c r="H24" s="24"/>
      <c r="I24" s="28"/>
      <c r="J24" s="27"/>
      <c r="K24" s="16"/>
      <c r="L24" s="16"/>
      <c r="M24" s="16"/>
      <c r="N24" s="16"/>
      <c r="O24" s="16"/>
      <c r="P24" s="16"/>
      <c r="Q24" s="16"/>
      <c r="R24" s="16"/>
      <c r="S24" s="16"/>
      <c r="T24" s="16"/>
      <c r="U24" s="16"/>
      <c r="V24" s="16"/>
      <c r="W24" s="16"/>
      <c r="X24" s="16"/>
      <c r="Y24" s="16"/>
      <c r="Z24" s="16"/>
      <c r="AA24" s="16"/>
      <c r="AB24" s="16"/>
    </row>
    <row r="25" ht="15.75" customHeight="1">
      <c r="A25" s="22"/>
      <c r="B25" s="23"/>
      <c r="C25" s="22"/>
      <c r="D25" s="24"/>
      <c r="E25" s="24"/>
      <c r="F25" s="24"/>
      <c r="G25" s="25"/>
      <c r="H25" s="24"/>
      <c r="I25" s="26"/>
      <c r="J25" s="27"/>
      <c r="K25" s="16"/>
      <c r="L25" s="16"/>
      <c r="M25" s="16"/>
      <c r="N25" s="16"/>
      <c r="O25" s="16"/>
      <c r="P25" s="16"/>
      <c r="Q25" s="16"/>
      <c r="R25" s="16"/>
      <c r="S25" s="16"/>
      <c r="T25" s="16"/>
      <c r="U25" s="16"/>
      <c r="V25" s="16"/>
      <c r="W25" s="16"/>
      <c r="X25" s="16"/>
      <c r="Y25" s="16"/>
      <c r="Z25" s="16"/>
      <c r="AA25" s="16"/>
      <c r="AB25" s="16"/>
    </row>
    <row r="26" ht="15.75" customHeight="1">
      <c r="A26" s="22"/>
      <c r="B26" s="23"/>
      <c r="C26" s="22"/>
      <c r="D26" s="24"/>
      <c r="E26" s="24"/>
      <c r="F26" s="24"/>
      <c r="G26" s="25"/>
      <c r="H26" s="24"/>
      <c r="I26" s="28"/>
      <c r="J26" s="27"/>
      <c r="K26" s="16"/>
      <c r="L26" s="16"/>
      <c r="M26" s="16"/>
      <c r="N26" s="16"/>
      <c r="O26" s="16"/>
      <c r="P26" s="16"/>
      <c r="Q26" s="16"/>
      <c r="R26" s="16"/>
      <c r="S26" s="16"/>
      <c r="T26" s="16"/>
      <c r="U26" s="16"/>
      <c r="V26" s="16"/>
      <c r="W26" s="16"/>
      <c r="X26" s="16"/>
      <c r="Y26" s="16"/>
      <c r="Z26" s="16"/>
      <c r="AA26" s="16"/>
      <c r="AB26" s="16"/>
    </row>
    <row r="27" ht="15.75" customHeight="1">
      <c r="A27" s="22"/>
      <c r="B27" s="23"/>
      <c r="C27" s="22"/>
      <c r="D27" s="24"/>
      <c r="E27" s="24"/>
      <c r="F27" s="24"/>
      <c r="G27" s="25"/>
      <c r="H27" s="24"/>
      <c r="I27" s="26"/>
      <c r="J27" s="27"/>
      <c r="K27" s="16"/>
      <c r="L27" s="16"/>
      <c r="M27" s="16"/>
      <c r="N27" s="16"/>
      <c r="O27" s="16"/>
      <c r="P27" s="16"/>
      <c r="Q27" s="16"/>
      <c r="R27" s="16"/>
      <c r="S27" s="16"/>
      <c r="T27" s="16"/>
      <c r="U27" s="16"/>
      <c r="V27" s="16"/>
      <c r="W27" s="16"/>
      <c r="X27" s="16"/>
      <c r="Y27" s="16"/>
      <c r="Z27" s="16"/>
      <c r="AA27" s="16"/>
      <c r="AB27" s="16"/>
    </row>
    <row r="28" ht="15.75" customHeight="1">
      <c r="A28" s="30"/>
      <c r="B28" s="31"/>
      <c r="C28" s="30"/>
      <c r="D28" s="32"/>
      <c r="E28" s="32"/>
      <c r="F28" s="32"/>
      <c r="G28" s="33"/>
      <c r="H28" s="32"/>
      <c r="I28" s="24"/>
      <c r="J28" s="27"/>
      <c r="K28" s="16"/>
      <c r="L28" s="16"/>
      <c r="M28" s="16"/>
      <c r="N28" s="16"/>
      <c r="O28" s="16"/>
      <c r="P28" s="16"/>
      <c r="Q28" s="16"/>
      <c r="R28" s="16"/>
      <c r="S28" s="16"/>
      <c r="T28" s="16"/>
      <c r="U28" s="16"/>
      <c r="V28" s="16"/>
      <c r="W28" s="16"/>
      <c r="X28" s="16"/>
      <c r="Y28" s="16"/>
      <c r="Z28" s="16"/>
      <c r="AA28" s="16"/>
      <c r="AB28" s="16"/>
    </row>
    <row r="29" ht="15.75" customHeight="1">
      <c r="A29" s="22"/>
      <c r="B29" s="23"/>
      <c r="C29" s="22"/>
      <c r="D29" s="24"/>
      <c r="E29" s="24"/>
      <c r="F29" s="24"/>
      <c r="G29" s="25"/>
      <c r="H29" s="24"/>
      <c r="I29" s="29"/>
      <c r="J29" s="27"/>
      <c r="K29" s="16"/>
      <c r="L29" s="16"/>
      <c r="M29" s="16"/>
      <c r="N29" s="16"/>
      <c r="O29" s="16"/>
      <c r="P29" s="16"/>
      <c r="Q29" s="16"/>
      <c r="R29" s="16"/>
      <c r="S29" s="16"/>
      <c r="T29" s="16"/>
      <c r="U29" s="16"/>
      <c r="V29" s="16"/>
      <c r="W29" s="16"/>
      <c r="X29" s="16"/>
      <c r="Y29" s="16"/>
      <c r="Z29" s="16"/>
      <c r="AA29" s="16"/>
      <c r="AB29" s="16"/>
    </row>
    <row r="30" ht="15.75" customHeight="1">
      <c r="A30" s="22"/>
      <c r="B30" s="23"/>
      <c r="C30" s="22"/>
      <c r="D30" s="24"/>
      <c r="E30" s="24"/>
      <c r="F30" s="24"/>
      <c r="G30" s="25"/>
      <c r="H30" s="24"/>
      <c r="I30" s="24"/>
      <c r="J30" s="27"/>
      <c r="K30" s="16"/>
      <c r="L30" s="16"/>
      <c r="M30" s="16"/>
      <c r="N30" s="16"/>
      <c r="O30" s="16"/>
      <c r="P30" s="16"/>
      <c r="Q30" s="16"/>
      <c r="R30" s="16"/>
      <c r="S30" s="16"/>
      <c r="T30" s="16"/>
      <c r="U30" s="16"/>
      <c r="V30" s="16"/>
      <c r="W30" s="16"/>
      <c r="X30" s="16"/>
      <c r="Y30" s="16"/>
      <c r="Z30" s="16"/>
      <c r="AA30" s="16"/>
      <c r="AB30" s="16"/>
    </row>
    <row r="31" ht="15.75" customHeight="1">
      <c r="A31" s="22"/>
      <c r="B31" s="23"/>
      <c r="C31" s="22"/>
      <c r="D31" s="24"/>
      <c r="E31" s="24"/>
      <c r="F31" s="24"/>
      <c r="G31" s="25"/>
      <c r="H31" s="24"/>
      <c r="I31" s="29"/>
      <c r="J31" s="27"/>
      <c r="K31" s="16"/>
      <c r="L31" s="16"/>
      <c r="M31" s="16"/>
      <c r="N31" s="16"/>
      <c r="O31" s="16"/>
      <c r="P31" s="16"/>
      <c r="Q31" s="16"/>
      <c r="R31" s="16"/>
      <c r="S31" s="16"/>
      <c r="T31" s="16"/>
      <c r="U31" s="16"/>
      <c r="V31" s="16"/>
      <c r="W31" s="16"/>
      <c r="X31" s="16"/>
      <c r="Y31" s="16"/>
      <c r="Z31" s="16"/>
      <c r="AA31" s="16"/>
      <c r="AB31" s="16"/>
    </row>
    <row r="32" ht="15.75" customHeight="1">
      <c r="A32" s="22"/>
      <c r="B32" s="23"/>
      <c r="C32" s="22"/>
      <c r="D32" s="24"/>
      <c r="E32" s="24"/>
      <c r="F32" s="24"/>
      <c r="G32" s="25"/>
      <c r="H32" s="24"/>
      <c r="I32" s="24"/>
      <c r="J32" s="27"/>
      <c r="K32" s="16"/>
      <c r="L32" s="16"/>
      <c r="M32" s="16"/>
      <c r="N32" s="16"/>
      <c r="O32" s="16"/>
      <c r="P32" s="16"/>
      <c r="Q32" s="16"/>
      <c r="R32" s="16"/>
      <c r="S32" s="16"/>
      <c r="T32" s="16"/>
      <c r="U32" s="16"/>
      <c r="V32" s="16"/>
      <c r="W32" s="16"/>
      <c r="X32" s="16"/>
      <c r="Y32" s="16"/>
      <c r="Z32" s="16"/>
      <c r="AA32" s="16"/>
      <c r="AB32" s="16"/>
    </row>
    <row r="33" ht="15.75" customHeight="1">
      <c r="A33" s="22"/>
      <c r="B33" s="23"/>
      <c r="C33" s="22"/>
      <c r="D33" s="24"/>
      <c r="E33" s="24"/>
      <c r="F33" s="24"/>
      <c r="G33" s="25"/>
      <c r="H33" s="24"/>
      <c r="I33" s="29"/>
      <c r="J33" s="27"/>
      <c r="K33" s="16"/>
      <c r="L33" s="16"/>
      <c r="M33" s="16"/>
      <c r="N33" s="16"/>
      <c r="O33" s="16"/>
      <c r="P33" s="16"/>
      <c r="Q33" s="16"/>
      <c r="R33" s="16"/>
      <c r="S33" s="16"/>
      <c r="T33" s="16"/>
      <c r="U33" s="16"/>
      <c r="V33" s="16"/>
      <c r="W33" s="16"/>
      <c r="X33" s="16"/>
      <c r="Y33" s="16"/>
      <c r="Z33" s="16"/>
      <c r="AA33" s="16"/>
      <c r="AB33" s="16"/>
    </row>
    <row r="34" ht="15.75" customHeight="1">
      <c r="A34" s="22"/>
      <c r="B34" s="23"/>
      <c r="C34" s="22"/>
      <c r="D34" s="24"/>
      <c r="E34" s="24"/>
      <c r="F34" s="24"/>
      <c r="G34" s="25"/>
      <c r="H34" s="24"/>
      <c r="I34" s="24"/>
      <c r="J34" s="27"/>
      <c r="K34" s="16"/>
      <c r="L34" s="16"/>
      <c r="M34" s="16"/>
      <c r="N34" s="16"/>
      <c r="O34" s="16"/>
      <c r="P34" s="16"/>
      <c r="Q34" s="16"/>
      <c r="R34" s="16"/>
      <c r="S34" s="16"/>
      <c r="T34" s="16"/>
      <c r="U34" s="16"/>
      <c r="V34" s="16"/>
      <c r="W34" s="16"/>
      <c r="X34" s="16"/>
      <c r="Y34" s="16"/>
      <c r="Z34" s="16"/>
      <c r="AA34" s="16"/>
      <c r="AB34" s="16"/>
    </row>
    <row r="35" ht="15.75" customHeight="1">
      <c r="A35" s="22"/>
      <c r="B35" s="23"/>
      <c r="C35" s="22"/>
      <c r="D35" s="24"/>
      <c r="E35" s="24"/>
      <c r="F35" s="24"/>
      <c r="G35" s="25"/>
      <c r="H35" s="24"/>
      <c r="I35" s="29"/>
      <c r="J35" s="27"/>
      <c r="K35" s="16"/>
      <c r="L35" s="16"/>
      <c r="M35" s="16"/>
      <c r="N35" s="16"/>
      <c r="O35" s="16"/>
      <c r="P35" s="16"/>
      <c r="Q35" s="16"/>
      <c r="R35" s="16"/>
      <c r="S35" s="16"/>
      <c r="T35" s="16"/>
      <c r="U35" s="16"/>
      <c r="V35" s="16"/>
      <c r="W35" s="16"/>
      <c r="X35" s="16"/>
      <c r="Y35" s="16"/>
      <c r="Z35" s="16"/>
      <c r="AA35" s="16"/>
      <c r="AB35" s="16"/>
    </row>
    <row r="36" ht="15.75" customHeight="1">
      <c r="A36" s="22"/>
      <c r="B36" s="23"/>
      <c r="C36" s="22"/>
      <c r="D36" s="24"/>
      <c r="E36" s="24"/>
      <c r="F36" s="24"/>
      <c r="G36" s="25"/>
      <c r="H36" s="24"/>
      <c r="I36" s="24"/>
      <c r="J36" s="27"/>
      <c r="K36" s="16"/>
      <c r="L36" s="16"/>
      <c r="M36" s="16"/>
      <c r="N36" s="16"/>
      <c r="O36" s="16"/>
      <c r="P36" s="16"/>
      <c r="Q36" s="16"/>
      <c r="R36" s="16"/>
      <c r="S36" s="16"/>
      <c r="T36" s="16"/>
      <c r="U36" s="16"/>
      <c r="V36" s="16"/>
      <c r="W36" s="16"/>
      <c r="X36" s="16"/>
      <c r="Y36" s="16"/>
      <c r="Z36" s="16"/>
      <c r="AA36" s="16"/>
      <c r="AB36" s="16"/>
    </row>
    <row r="37" ht="15.75" customHeight="1">
      <c r="A37" s="22"/>
      <c r="B37" s="23"/>
      <c r="C37" s="22"/>
      <c r="D37" s="24"/>
      <c r="E37" s="24"/>
      <c r="F37" s="24"/>
      <c r="G37" s="25"/>
      <c r="H37" s="24"/>
      <c r="I37" s="29"/>
      <c r="J37" s="27"/>
      <c r="K37" s="16"/>
      <c r="L37" s="16"/>
      <c r="M37" s="16"/>
      <c r="N37" s="16"/>
      <c r="O37" s="16"/>
      <c r="P37" s="16"/>
      <c r="Q37" s="16"/>
      <c r="R37" s="16"/>
      <c r="S37" s="16"/>
      <c r="T37" s="16"/>
      <c r="U37" s="16"/>
      <c r="V37" s="16"/>
      <c r="W37" s="16"/>
      <c r="X37" s="16"/>
      <c r="Y37" s="16"/>
      <c r="Z37" s="16"/>
      <c r="AA37" s="16"/>
      <c r="AB37" s="16"/>
    </row>
    <row r="38" ht="15.75" customHeight="1">
      <c r="A38" s="22"/>
      <c r="B38" s="23"/>
      <c r="C38" s="22"/>
      <c r="D38" s="24"/>
      <c r="E38" s="24"/>
      <c r="F38" s="24"/>
      <c r="G38" s="25"/>
      <c r="H38" s="24"/>
      <c r="I38" s="24"/>
      <c r="J38" s="27"/>
      <c r="K38" s="16"/>
      <c r="L38" s="16"/>
      <c r="M38" s="16"/>
      <c r="N38" s="16"/>
      <c r="O38" s="16"/>
      <c r="P38" s="16"/>
      <c r="Q38" s="16"/>
      <c r="R38" s="16"/>
      <c r="S38" s="16"/>
      <c r="T38" s="16"/>
      <c r="U38" s="16"/>
      <c r="V38" s="16"/>
      <c r="W38" s="16"/>
      <c r="X38" s="16"/>
      <c r="Y38" s="16"/>
      <c r="Z38" s="16"/>
      <c r="AA38" s="16"/>
      <c r="AB38" s="16"/>
    </row>
    <row r="39" ht="15.75" customHeight="1">
      <c r="A39" s="22"/>
      <c r="B39" s="23"/>
      <c r="C39" s="22"/>
      <c r="D39" s="24"/>
      <c r="E39" s="24"/>
      <c r="F39" s="24"/>
      <c r="G39" s="25"/>
      <c r="H39" s="24"/>
      <c r="I39" s="29"/>
      <c r="J39" s="27"/>
      <c r="K39" s="16"/>
      <c r="L39" s="16"/>
      <c r="M39" s="16"/>
      <c r="N39" s="16"/>
      <c r="O39" s="16"/>
      <c r="P39" s="16"/>
      <c r="Q39" s="16"/>
      <c r="R39" s="16"/>
      <c r="S39" s="16"/>
      <c r="T39" s="16"/>
      <c r="U39" s="16"/>
      <c r="V39" s="16"/>
      <c r="W39" s="16"/>
      <c r="X39" s="16"/>
      <c r="Y39" s="16"/>
      <c r="Z39" s="16"/>
      <c r="AA39" s="16"/>
      <c r="AB39" s="16"/>
    </row>
    <row r="40" ht="15.75" customHeight="1">
      <c r="A40" s="22"/>
      <c r="B40" s="23"/>
      <c r="C40" s="22"/>
      <c r="D40" s="24"/>
      <c r="E40" s="24"/>
      <c r="F40" s="24"/>
      <c r="G40" s="25"/>
      <c r="H40" s="24"/>
      <c r="I40" s="24"/>
      <c r="J40" s="27"/>
      <c r="K40" s="16"/>
      <c r="L40" s="16"/>
      <c r="M40" s="16"/>
      <c r="N40" s="16"/>
      <c r="O40" s="16"/>
      <c r="P40" s="16"/>
      <c r="Q40" s="16"/>
      <c r="R40" s="16"/>
      <c r="S40" s="16"/>
      <c r="T40" s="16"/>
      <c r="U40" s="16"/>
      <c r="V40" s="16"/>
      <c r="W40" s="16"/>
      <c r="X40" s="16"/>
      <c r="Y40" s="16"/>
      <c r="Z40" s="16"/>
      <c r="AA40" s="16"/>
      <c r="AB40" s="16"/>
    </row>
    <row r="41" ht="15.75" customHeight="1">
      <c r="A41" s="22"/>
      <c r="B41" s="23"/>
      <c r="C41" s="22"/>
      <c r="D41" s="29"/>
      <c r="E41" s="29"/>
      <c r="F41" s="29"/>
      <c r="G41" s="29"/>
      <c r="H41" s="24"/>
      <c r="I41" s="29"/>
      <c r="J41" s="29"/>
    </row>
    <row r="42" ht="15.75" customHeight="1">
      <c r="A42" s="22"/>
      <c r="B42" s="23"/>
      <c r="C42" s="22"/>
      <c r="D42" s="29"/>
      <c r="E42" s="29"/>
      <c r="F42" s="29"/>
      <c r="G42" s="29"/>
      <c r="H42" s="24"/>
      <c r="I42" s="24"/>
      <c r="J42" s="29"/>
    </row>
    <row r="43" ht="15.75" customHeight="1">
      <c r="A43" s="22"/>
      <c r="B43" s="23"/>
      <c r="C43" s="22"/>
      <c r="D43" s="29"/>
      <c r="E43" s="29"/>
      <c r="F43" s="29"/>
      <c r="G43" s="29"/>
      <c r="H43" s="24"/>
      <c r="I43" s="29"/>
      <c r="J43" s="29"/>
    </row>
    <row r="44" ht="15.75" customHeight="1">
      <c r="A44" s="22"/>
      <c r="B44" s="23"/>
      <c r="C44" s="22"/>
      <c r="D44" s="29"/>
      <c r="E44" s="29"/>
      <c r="F44" s="29"/>
      <c r="G44" s="29"/>
      <c r="H44" s="24"/>
      <c r="I44" s="24"/>
      <c r="J44" s="29"/>
    </row>
    <row r="45" ht="15.75" customHeight="1">
      <c r="A45" s="22"/>
      <c r="B45" s="23"/>
      <c r="C45" s="22"/>
      <c r="D45" s="29"/>
      <c r="E45" s="34"/>
      <c r="F45" s="29"/>
      <c r="G45" s="29"/>
      <c r="H45" s="24"/>
      <c r="I45" s="29"/>
      <c r="J45" s="29"/>
    </row>
    <row r="46" ht="15.75" customHeight="1">
      <c r="A46" s="22"/>
      <c r="B46" s="23"/>
      <c r="C46" s="22"/>
      <c r="D46" s="29"/>
      <c r="E46" s="34"/>
      <c r="F46" s="29"/>
      <c r="G46" s="29"/>
      <c r="H46" s="24"/>
      <c r="I46" s="24"/>
      <c r="J46" s="29"/>
    </row>
    <row r="47" ht="15.75" customHeight="1">
      <c r="A47" s="22"/>
      <c r="B47" s="23"/>
      <c r="C47" s="22"/>
      <c r="D47" s="29"/>
      <c r="E47" s="34"/>
      <c r="F47" s="29"/>
      <c r="G47" s="29"/>
      <c r="H47" s="24"/>
      <c r="I47" s="29"/>
      <c r="J47" s="29"/>
    </row>
    <row r="48" ht="15.75" customHeight="1">
      <c r="A48" s="22"/>
      <c r="B48" s="23"/>
      <c r="C48" s="22"/>
      <c r="D48" s="29"/>
      <c r="E48" s="29"/>
      <c r="F48" s="29"/>
      <c r="G48" s="29"/>
      <c r="H48" s="24"/>
      <c r="I48" s="24"/>
      <c r="J48" s="29"/>
    </row>
    <row r="49" ht="15.75" customHeight="1">
      <c r="A49" s="22"/>
      <c r="B49" s="23"/>
      <c r="C49" s="22"/>
      <c r="D49" s="29"/>
      <c r="E49" s="29"/>
      <c r="F49" s="29"/>
      <c r="G49" s="29"/>
      <c r="H49" s="24"/>
      <c r="I49" s="29"/>
      <c r="J49" s="29"/>
    </row>
    <row r="50" ht="15.75" customHeight="1">
      <c r="A50" s="22"/>
      <c r="B50" s="23"/>
      <c r="C50" s="22"/>
      <c r="D50" s="29"/>
      <c r="E50" s="34"/>
      <c r="F50" s="29"/>
      <c r="G50" s="29"/>
      <c r="H50" s="24"/>
      <c r="I50" s="24"/>
      <c r="J50" s="29"/>
    </row>
    <row r="51" ht="15.75" customHeight="1">
      <c r="A51" s="22"/>
      <c r="B51" s="23"/>
      <c r="C51" s="22"/>
      <c r="D51" s="29"/>
      <c r="E51" s="34"/>
      <c r="F51" s="29"/>
      <c r="G51" s="29"/>
      <c r="H51" s="24"/>
      <c r="I51" s="29"/>
      <c r="J51" s="29"/>
    </row>
    <row r="52" ht="15.75" customHeight="1">
      <c r="A52" s="22"/>
      <c r="B52" s="23"/>
      <c r="C52" s="22"/>
      <c r="D52" s="29"/>
      <c r="E52" s="34"/>
      <c r="F52" s="29"/>
      <c r="G52" s="29"/>
      <c r="H52" s="24"/>
      <c r="I52" s="24"/>
      <c r="J52" s="29"/>
    </row>
    <row r="53" ht="15.75" customHeight="1">
      <c r="A53" s="22"/>
      <c r="B53" s="23"/>
      <c r="C53" s="22"/>
      <c r="D53" s="29"/>
      <c r="E53" s="29"/>
      <c r="F53" s="29"/>
      <c r="G53" s="29"/>
      <c r="H53" s="24"/>
      <c r="I53" s="29"/>
      <c r="J53" s="29"/>
    </row>
    <row r="54" ht="15.75" customHeight="1">
      <c r="A54" s="22"/>
      <c r="B54" s="23"/>
      <c r="C54" s="22"/>
      <c r="D54" s="29"/>
      <c r="E54" s="29"/>
      <c r="F54" s="29"/>
      <c r="G54" s="29"/>
      <c r="H54" s="24"/>
      <c r="I54" s="24"/>
      <c r="J54" s="29"/>
    </row>
    <row r="55" ht="15.75" customHeight="1">
      <c r="A55" s="22"/>
      <c r="B55" s="23"/>
      <c r="C55" s="22"/>
      <c r="D55" s="29"/>
      <c r="E55" s="29"/>
      <c r="F55" s="29"/>
      <c r="G55" s="29"/>
      <c r="H55" s="24"/>
      <c r="I55" s="29"/>
      <c r="J55" s="29"/>
    </row>
    <row r="56" ht="15.75" customHeight="1">
      <c r="A56" s="22"/>
      <c r="B56" s="23"/>
      <c r="C56" s="22"/>
      <c r="D56" s="29"/>
      <c r="E56" s="34"/>
      <c r="F56" s="29"/>
      <c r="G56" s="29"/>
      <c r="H56" s="24"/>
      <c r="I56" s="24"/>
      <c r="J56" s="29"/>
    </row>
    <row r="57" ht="15.75" customHeight="1">
      <c r="A57" s="22"/>
      <c r="B57" s="23"/>
      <c r="C57" s="22"/>
      <c r="D57" s="29"/>
      <c r="E57" s="29"/>
      <c r="F57" s="29"/>
      <c r="G57" s="29"/>
      <c r="H57" s="24"/>
      <c r="I57" s="29"/>
      <c r="J57" s="29"/>
    </row>
    <row r="58" ht="15.75" customHeight="1">
      <c r="A58" s="22"/>
      <c r="B58" s="23"/>
      <c r="C58" s="22"/>
      <c r="D58" s="29"/>
      <c r="E58" s="34"/>
      <c r="F58" s="29"/>
      <c r="G58" s="29"/>
      <c r="H58" s="24"/>
      <c r="I58" s="24"/>
      <c r="J58" s="29"/>
    </row>
    <row r="59" ht="15.75" customHeight="1">
      <c r="A59" s="22"/>
      <c r="B59" s="23"/>
      <c r="C59" s="22"/>
      <c r="D59" s="29"/>
      <c r="E59" s="34"/>
      <c r="F59" s="29"/>
      <c r="G59" s="29"/>
      <c r="H59" s="24"/>
      <c r="I59" s="29"/>
      <c r="J59" s="29"/>
    </row>
    <row r="60" ht="15.75" customHeight="1">
      <c r="A60" s="22"/>
      <c r="B60" s="23"/>
      <c r="C60" s="22"/>
      <c r="D60" s="29"/>
      <c r="E60" s="34"/>
      <c r="F60" s="29"/>
      <c r="G60" s="29"/>
      <c r="H60" s="24"/>
      <c r="I60" s="24"/>
      <c r="J60" s="29"/>
    </row>
    <row r="61" ht="15.75" customHeight="1">
      <c r="A61" s="22"/>
      <c r="B61" s="23"/>
      <c r="C61" s="22"/>
      <c r="D61" s="29"/>
      <c r="E61" s="29"/>
      <c r="F61" s="29"/>
      <c r="G61" s="29"/>
      <c r="H61" s="24"/>
      <c r="I61" s="29"/>
      <c r="J61" s="29"/>
    </row>
    <row r="62" ht="15.75" customHeight="1">
      <c r="A62" s="22"/>
      <c r="B62" s="23"/>
      <c r="C62" s="22"/>
      <c r="D62" s="29"/>
      <c r="E62" s="34"/>
      <c r="F62" s="29"/>
      <c r="G62" s="29"/>
      <c r="H62" s="24"/>
      <c r="I62" s="24"/>
      <c r="J62" s="29"/>
    </row>
    <row r="63" ht="15.75" customHeight="1">
      <c r="A63" s="22"/>
      <c r="B63" s="23"/>
      <c r="C63" s="22"/>
      <c r="D63" s="29"/>
      <c r="E63" s="35"/>
      <c r="F63" s="29"/>
      <c r="G63" s="29"/>
      <c r="H63" s="24"/>
      <c r="I63" s="29"/>
      <c r="J63" s="29"/>
    </row>
    <row r="64" ht="15.75" customHeight="1">
      <c r="A64" s="22"/>
      <c r="B64" s="23"/>
      <c r="C64" s="22"/>
      <c r="D64" s="29"/>
      <c r="E64" s="29"/>
      <c r="F64" s="29"/>
      <c r="G64" s="29"/>
      <c r="H64" s="24"/>
      <c r="I64" s="24"/>
      <c r="J64" s="29"/>
    </row>
    <row r="65" ht="15.75" customHeight="1">
      <c r="A65" s="22"/>
      <c r="B65" s="23"/>
      <c r="C65" s="22"/>
      <c r="D65" s="29"/>
      <c r="E65" s="29"/>
      <c r="F65" s="29"/>
      <c r="G65" s="29"/>
      <c r="H65" s="24"/>
      <c r="I65" s="29"/>
      <c r="J65" s="29"/>
    </row>
    <row r="66" ht="15.75" customHeight="1">
      <c r="A66" s="22"/>
      <c r="B66" s="23"/>
      <c r="C66" s="22"/>
      <c r="D66" s="29"/>
      <c r="E66" s="29"/>
      <c r="F66" s="29"/>
      <c r="G66" s="29"/>
      <c r="H66" s="24"/>
      <c r="I66" s="24"/>
      <c r="J66" s="29"/>
    </row>
    <row r="67" ht="15.75" customHeight="1">
      <c r="A67" s="22"/>
      <c r="B67" s="23"/>
      <c r="C67" s="22"/>
      <c r="D67" s="29"/>
      <c r="E67" s="29"/>
      <c r="F67" s="29"/>
      <c r="G67" s="29"/>
      <c r="H67" s="24"/>
      <c r="I67" s="29"/>
      <c r="J67" s="29"/>
    </row>
    <row r="68" ht="15.75" customHeight="1">
      <c r="A68" s="22"/>
      <c r="B68" s="23"/>
      <c r="C68" s="22"/>
      <c r="D68" s="29"/>
      <c r="E68" s="36"/>
      <c r="F68" s="29"/>
      <c r="G68" s="29"/>
      <c r="H68" s="24"/>
      <c r="I68" s="24"/>
      <c r="J68" s="29"/>
    </row>
    <row r="69" ht="15.75" customHeight="1">
      <c r="A69" s="22"/>
      <c r="B69" s="23"/>
      <c r="C69" s="22"/>
      <c r="D69" s="29"/>
      <c r="E69" s="34"/>
      <c r="F69" s="29"/>
      <c r="G69" s="29"/>
      <c r="H69" s="24"/>
      <c r="I69" s="29"/>
      <c r="J69" s="29"/>
    </row>
    <row r="70" ht="15.75" customHeight="1">
      <c r="A70" s="22"/>
      <c r="B70" s="23"/>
      <c r="C70" s="22"/>
      <c r="D70" s="29"/>
      <c r="E70" s="29"/>
      <c r="F70" s="29"/>
      <c r="G70" s="29"/>
      <c r="H70" s="24"/>
      <c r="I70" s="24"/>
      <c r="J70" s="29"/>
    </row>
    <row r="71" ht="15.75" customHeight="1">
      <c r="A71" s="22"/>
      <c r="B71" s="23"/>
      <c r="C71" s="22"/>
      <c r="D71" s="29"/>
      <c r="E71" s="29"/>
      <c r="F71" s="29"/>
      <c r="G71" s="29"/>
      <c r="H71" s="24"/>
      <c r="I71" s="29"/>
      <c r="J71" s="29"/>
    </row>
    <row r="72" ht="15.75" customHeight="1">
      <c r="A72" s="22"/>
      <c r="B72" s="23"/>
      <c r="C72" s="22"/>
      <c r="D72" s="29"/>
      <c r="E72" s="37"/>
      <c r="F72" s="29"/>
      <c r="G72" s="29"/>
      <c r="H72" s="24"/>
      <c r="I72" s="24"/>
      <c r="J72" s="29"/>
    </row>
    <row r="73" ht="15.75" customHeight="1">
      <c r="A73" s="22"/>
      <c r="B73" s="23"/>
      <c r="C73" s="22"/>
      <c r="D73" s="29"/>
      <c r="E73" s="29"/>
      <c r="F73" s="29"/>
      <c r="G73" s="29"/>
      <c r="H73" s="24"/>
      <c r="I73" s="29"/>
      <c r="J73" s="29"/>
    </row>
    <row r="74" ht="15.75" customHeight="1">
      <c r="A74" s="22"/>
      <c r="B74" s="23"/>
      <c r="C74" s="22"/>
      <c r="D74" s="29"/>
      <c r="E74" s="29"/>
      <c r="F74" s="29"/>
      <c r="G74" s="29"/>
      <c r="H74" s="24"/>
      <c r="I74" s="24"/>
      <c r="J74" s="29"/>
    </row>
    <row r="75" ht="15.75" customHeight="1">
      <c r="A75" s="22"/>
      <c r="B75" s="23"/>
      <c r="C75" s="22"/>
      <c r="D75" s="29"/>
      <c r="E75" s="29"/>
      <c r="F75" s="29"/>
      <c r="G75" s="29"/>
      <c r="H75" s="24"/>
      <c r="I75" s="29"/>
      <c r="J75" s="29"/>
    </row>
    <row r="76" ht="15.75" customHeight="1">
      <c r="A76" s="22"/>
      <c r="B76" s="23"/>
      <c r="C76" s="22"/>
      <c r="D76" s="29"/>
      <c r="E76" s="29"/>
      <c r="F76" s="29"/>
      <c r="G76" s="29"/>
      <c r="H76" s="24"/>
      <c r="I76" s="24"/>
      <c r="J76" s="29"/>
    </row>
    <row r="77" ht="15.75" customHeight="1">
      <c r="A77" s="22"/>
      <c r="B77" s="23"/>
      <c r="C77" s="22"/>
      <c r="D77" s="29"/>
      <c r="E77" s="29"/>
      <c r="F77" s="29"/>
      <c r="G77" s="29"/>
      <c r="H77" s="24"/>
      <c r="I77" s="29"/>
      <c r="J77" s="29"/>
    </row>
    <row r="78" ht="15.75" customHeight="1">
      <c r="A78" s="22"/>
      <c r="B78" s="23"/>
      <c r="C78" s="22"/>
      <c r="D78" s="29"/>
      <c r="E78" s="34"/>
      <c r="F78" s="34"/>
      <c r="G78" s="29"/>
      <c r="H78" s="24"/>
      <c r="I78" s="24"/>
      <c r="J78" s="29"/>
    </row>
    <row r="79" ht="15.75" customHeight="1">
      <c r="A79" s="22"/>
      <c r="B79" s="23"/>
      <c r="C79" s="22"/>
      <c r="D79" s="29"/>
      <c r="E79" s="34"/>
      <c r="F79" s="29"/>
      <c r="G79" s="29"/>
      <c r="H79" s="24"/>
      <c r="I79" s="29"/>
      <c r="J79" s="29"/>
    </row>
    <row r="80" ht="15.75" customHeight="1">
      <c r="A80" s="22"/>
      <c r="B80" s="23"/>
      <c r="C80" s="22"/>
      <c r="D80" s="29"/>
      <c r="E80" s="34"/>
      <c r="F80" s="29"/>
      <c r="G80" s="29"/>
      <c r="H80" s="24"/>
      <c r="I80" s="24"/>
      <c r="J80" s="29"/>
    </row>
    <row r="81" ht="15.75" customHeight="1">
      <c r="A81" s="22"/>
      <c r="B81" s="23"/>
      <c r="C81" s="22"/>
      <c r="D81" s="29"/>
      <c r="E81" s="34"/>
      <c r="F81" s="29"/>
      <c r="G81" s="29"/>
      <c r="H81" s="24"/>
      <c r="I81" s="29"/>
      <c r="J81" s="29"/>
    </row>
    <row r="82" ht="15.75" customHeight="1">
      <c r="A82" s="22"/>
      <c r="B82" s="23"/>
      <c r="C82" s="22"/>
      <c r="D82" s="29"/>
      <c r="E82" s="29"/>
      <c r="F82" s="29"/>
      <c r="G82" s="29"/>
      <c r="H82" s="24"/>
      <c r="I82" s="24"/>
      <c r="J82" s="29"/>
    </row>
    <row r="83" ht="15.75" customHeight="1">
      <c r="A83" s="22"/>
      <c r="B83" s="23"/>
      <c r="C83" s="22"/>
      <c r="D83" s="29"/>
      <c r="E83" s="29"/>
      <c r="F83" s="29"/>
      <c r="G83" s="29"/>
      <c r="H83" s="24"/>
      <c r="I83" s="29"/>
      <c r="J83" s="29"/>
    </row>
    <row r="84" ht="15.75" customHeight="1">
      <c r="A84" s="22"/>
      <c r="B84" s="23"/>
      <c r="C84" s="22"/>
      <c r="D84" s="29"/>
      <c r="E84" s="34"/>
      <c r="F84" s="29"/>
      <c r="G84" s="29"/>
      <c r="H84" s="24"/>
      <c r="I84" s="24"/>
      <c r="J84" s="29"/>
    </row>
    <row r="85" ht="15.75" customHeight="1">
      <c r="A85" s="22"/>
      <c r="B85" s="23"/>
      <c r="C85" s="22"/>
      <c r="D85" s="29"/>
      <c r="E85" s="29"/>
      <c r="F85" s="29"/>
      <c r="G85" s="29"/>
      <c r="H85" s="24"/>
      <c r="I85" s="29"/>
      <c r="J85" s="29"/>
    </row>
    <row r="86" ht="15.75" customHeight="1">
      <c r="A86" s="22"/>
      <c r="B86" s="23"/>
      <c r="C86" s="22"/>
      <c r="D86" s="29"/>
      <c r="E86" s="34"/>
      <c r="F86" s="29"/>
      <c r="G86" s="29"/>
      <c r="H86" s="24"/>
      <c r="I86" s="24"/>
      <c r="J86" s="29"/>
    </row>
    <row r="87" ht="15.75" customHeight="1">
      <c r="A87" s="22"/>
      <c r="B87" s="23"/>
      <c r="C87" s="22"/>
      <c r="D87" s="29"/>
      <c r="E87" s="34"/>
      <c r="F87" s="29"/>
      <c r="G87" s="29"/>
      <c r="H87" s="24"/>
      <c r="I87" s="29"/>
      <c r="J87" s="29"/>
    </row>
    <row r="88" ht="15.75" customHeight="1">
      <c r="A88" s="22"/>
      <c r="B88" s="23"/>
      <c r="C88" s="22"/>
      <c r="D88" s="29"/>
      <c r="E88" s="38"/>
      <c r="F88" s="29"/>
      <c r="G88" s="29"/>
      <c r="H88" s="24"/>
      <c r="I88" s="24"/>
      <c r="J88" s="29"/>
    </row>
    <row r="89" ht="15.75" customHeight="1">
      <c r="A89" s="22"/>
      <c r="B89" s="23"/>
      <c r="C89" s="22"/>
      <c r="D89" s="29"/>
      <c r="E89" s="34"/>
      <c r="F89" s="29"/>
      <c r="G89" s="29"/>
      <c r="H89" s="24"/>
      <c r="I89" s="29"/>
      <c r="J89" s="29"/>
    </row>
    <row r="90" ht="15.75" customHeight="1">
      <c r="A90" s="22"/>
      <c r="B90" s="23"/>
      <c r="C90" s="22"/>
      <c r="D90" s="29"/>
      <c r="E90" s="34"/>
      <c r="F90" s="29"/>
      <c r="G90" s="29"/>
      <c r="H90" s="24"/>
      <c r="I90" s="24"/>
      <c r="J90" s="29"/>
    </row>
    <row r="91" ht="15.75" customHeight="1">
      <c r="A91" s="22"/>
      <c r="B91" s="23"/>
      <c r="C91" s="22"/>
      <c r="D91" s="29"/>
      <c r="E91" s="34"/>
      <c r="F91" s="29"/>
      <c r="G91" s="29"/>
      <c r="H91" s="24"/>
      <c r="I91" s="29"/>
      <c r="J91" s="29"/>
    </row>
    <row r="92" ht="15.75" customHeight="1">
      <c r="A92" s="22"/>
      <c r="B92" s="23"/>
      <c r="C92" s="22"/>
      <c r="D92" s="29"/>
      <c r="E92" s="34"/>
      <c r="F92" s="29"/>
      <c r="G92" s="29"/>
      <c r="H92" s="24"/>
      <c r="I92" s="24"/>
      <c r="J92" s="29"/>
    </row>
    <row r="93" ht="15.75" customHeight="1">
      <c r="A93" s="22"/>
      <c r="B93" s="23"/>
      <c r="C93" s="22"/>
      <c r="D93" s="29"/>
      <c r="E93" s="34"/>
      <c r="F93" s="29"/>
      <c r="G93" s="29"/>
      <c r="H93" s="24"/>
      <c r="I93" s="29"/>
      <c r="J93" s="29"/>
    </row>
    <row r="94" ht="15.75" customHeight="1">
      <c r="A94" s="22"/>
      <c r="B94" s="23"/>
      <c r="C94" s="22"/>
      <c r="D94" s="29"/>
      <c r="E94" s="34"/>
      <c r="F94" s="29"/>
      <c r="G94" s="29"/>
      <c r="H94" s="24"/>
      <c r="I94" s="24"/>
      <c r="J94" s="29"/>
    </row>
    <row r="95" ht="15.75" customHeight="1">
      <c r="A95" s="22"/>
      <c r="B95" s="23"/>
      <c r="C95" s="22"/>
      <c r="D95" s="29"/>
      <c r="E95" s="29"/>
      <c r="F95" s="29"/>
      <c r="G95" s="29"/>
      <c r="H95" s="24"/>
      <c r="I95" s="29"/>
      <c r="J95" s="29"/>
    </row>
    <row r="96" ht="15.75" customHeight="1">
      <c r="A96" s="22"/>
      <c r="B96" s="23"/>
      <c r="C96" s="22"/>
      <c r="D96" s="29"/>
      <c r="E96" s="39"/>
      <c r="F96" s="29"/>
      <c r="G96" s="29"/>
      <c r="H96" s="24"/>
      <c r="I96" s="24"/>
      <c r="J96" s="29"/>
    </row>
    <row r="97" ht="15.75" customHeight="1">
      <c r="A97" s="22"/>
      <c r="B97" s="23"/>
      <c r="C97" s="22"/>
      <c r="D97" s="29"/>
      <c r="E97" s="40"/>
      <c r="F97" s="29"/>
      <c r="G97" s="29"/>
      <c r="H97" s="24"/>
      <c r="I97" s="29"/>
      <c r="J97" s="29"/>
    </row>
    <row r="98" ht="15.75" customHeight="1">
      <c r="A98" s="22"/>
      <c r="B98" s="23"/>
      <c r="C98" s="22"/>
      <c r="D98" s="29"/>
      <c r="E98" s="34"/>
      <c r="F98" s="29"/>
      <c r="G98" s="29"/>
      <c r="H98" s="24"/>
      <c r="I98" s="24"/>
      <c r="J98" s="29"/>
    </row>
    <row r="99" ht="15.75" customHeight="1">
      <c r="A99" s="22"/>
      <c r="B99" s="23"/>
      <c r="C99" s="22"/>
      <c r="D99" s="29"/>
      <c r="E99" s="29"/>
      <c r="F99" s="29"/>
      <c r="G99" s="29"/>
      <c r="H99" s="24"/>
      <c r="I99" s="29"/>
      <c r="J99" s="29"/>
    </row>
    <row r="100" ht="15.75" customHeight="1">
      <c r="A100" s="22"/>
      <c r="B100" s="23"/>
      <c r="C100" s="22"/>
      <c r="D100" s="29"/>
      <c r="E100" s="34"/>
      <c r="F100" s="29"/>
      <c r="G100" s="29"/>
      <c r="H100" s="24"/>
      <c r="I100" s="24"/>
      <c r="J100" s="29"/>
    </row>
    <row r="101" ht="15.75" customHeight="1">
      <c r="A101" s="22"/>
      <c r="B101" s="23"/>
      <c r="C101" s="22"/>
      <c r="D101" s="29"/>
      <c r="E101" s="29"/>
      <c r="F101" s="29"/>
      <c r="G101" s="29"/>
      <c r="H101" s="24"/>
      <c r="I101" s="29"/>
      <c r="J101" s="29"/>
    </row>
    <row r="102" ht="15.75" customHeight="1">
      <c r="A102" s="22"/>
      <c r="B102" s="23"/>
      <c r="C102" s="22"/>
      <c r="D102" s="29"/>
      <c r="E102" s="29"/>
      <c r="F102" s="29"/>
      <c r="G102" s="29"/>
      <c r="H102" s="24"/>
      <c r="I102" s="24"/>
      <c r="J102" s="29"/>
    </row>
    <row r="103" ht="15.75" customHeight="1">
      <c r="A103" s="22"/>
      <c r="B103" s="23"/>
      <c r="C103" s="22"/>
      <c r="D103" s="29"/>
      <c r="E103" s="29"/>
      <c r="F103" s="29"/>
      <c r="G103" s="29"/>
      <c r="H103" s="24"/>
      <c r="I103" s="29"/>
      <c r="J103" s="29"/>
    </row>
    <row r="104" ht="15.75" customHeight="1">
      <c r="A104" s="22"/>
      <c r="B104" s="23"/>
      <c r="C104" s="22"/>
      <c r="D104" s="29"/>
      <c r="E104" s="34"/>
      <c r="F104" s="29"/>
      <c r="G104" s="29"/>
      <c r="H104" s="24"/>
      <c r="I104" s="24"/>
      <c r="J104" s="29"/>
    </row>
    <row r="105" ht="15.75" customHeight="1">
      <c r="A105" s="22"/>
      <c r="B105" s="23"/>
      <c r="C105" s="22"/>
      <c r="D105" s="29"/>
      <c r="E105" s="34"/>
      <c r="F105" s="29"/>
      <c r="G105" s="29"/>
      <c r="H105" s="24"/>
      <c r="I105" s="29"/>
      <c r="J105" s="29"/>
    </row>
    <row r="106" ht="15.75" customHeight="1">
      <c r="A106" s="22"/>
      <c r="B106" s="23"/>
      <c r="C106" s="22"/>
      <c r="D106" s="29"/>
      <c r="E106" s="34"/>
      <c r="F106" s="29"/>
      <c r="G106" s="29"/>
      <c r="H106" s="24"/>
      <c r="I106" s="24"/>
      <c r="J106" s="29"/>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H4:H106">
      <formula1>References!$K$4:$K$5</formula1>
    </dataValidation>
  </dataValidations>
  <hyperlinks>
    <hyperlink r:id="rId1" ref="C2"/>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2.63"/>
    <col customWidth="1" min="2" max="2" width="22.75"/>
    <col customWidth="1" min="3" max="3" width="21.38"/>
    <col customWidth="1" min="4" max="4" width="31.13"/>
    <col customWidth="1" min="5" max="5" width="37.0"/>
    <col customWidth="1" min="6" max="6" width="10.75"/>
    <col customWidth="1" min="7" max="7" width="28.25"/>
    <col customWidth="1" min="8" max="8" width="17.38"/>
  </cols>
  <sheetData>
    <row r="1" ht="15.75" customHeight="1">
      <c r="A1" s="2" t="s">
        <v>45</v>
      </c>
    </row>
    <row r="2" ht="15.75" customHeight="1"/>
    <row r="3" ht="24.0" customHeight="1">
      <c r="A3" s="41" t="s">
        <v>11</v>
      </c>
      <c r="B3" s="41" t="s">
        <v>46</v>
      </c>
      <c r="C3" s="41" t="s">
        <v>47</v>
      </c>
      <c r="D3" s="41" t="s">
        <v>48</v>
      </c>
      <c r="E3" s="41" t="s">
        <v>49</v>
      </c>
      <c r="F3" s="41" t="s">
        <v>50</v>
      </c>
      <c r="G3" s="41" t="s">
        <v>51</v>
      </c>
      <c r="H3" s="41" t="s">
        <v>52</v>
      </c>
      <c r="I3" s="41" t="s">
        <v>53</v>
      </c>
    </row>
    <row r="4" ht="15.75" hidden="1" customHeight="1">
      <c r="A4" s="42" t="s">
        <v>54</v>
      </c>
      <c r="B4" s="42" t="s">
        <v>55</v>
      </c>
      <c r="C4" s="42" t="s">
        <v>56</v>
      </c>
      <c r="D4" s="42" t="s">
        <v>57</v>
      </c>
      <c r="E4" s="42" t="s">
        <v>58</v>
      </c>
      <c r="F4" s="42" t="s">
        <v>59</v>
      </c>
      <c r="G4" s="42" t="s">
        <v>60</v>
      </c>
      <c r="H4" s="42" t="s">
        <v>61</v>
      </c>
      <c r="I4" s="42"/>
      <c r="J4" s="16"/>
      <c r="K4" s="16"/>
      <c r="L4" s="16"/>
      <c r="M4" s="16"/>
      <c r="N4" s="16"/>
      <c r="O4" s="16"/>
      <c r="P4" s="16"/>
      <c r="Q4" s="16"/>
      <c r="R4" s="16"/>
      <c r="S4" s="16"/>
      <c r="T4" s="16"/>
      <c r="U4" s="16"/>
      <c r="V4" s="16"/>
      <c r="W4" s="16"/>
      <c r="X4" s="16"/>
      <c r="Y4" s="16"/>
      <c r="Z4" s="16"/>
      <c r="AA4" s="16"/>
    </row>
    <row r="5" ht="15.75" customHeight="1">
      <c r="A5" s="43">
        <v>1.0</v>
      </c>
      <c r="B5" s="43" t="s">
        <v>62</v>
      </c>
      <c r="C5" s="43" t="s">
        <v>63</v>
      </c>
      <c r="D5" s="44" t="s">
        <v>64</v>
      </c>
      <c r="E5" s="44" t="s">
        <v>65</v>
      </c>
      <c r="F5" s="43" t="s">
        <v>59</v>
      </c>
      <c r="G5" s="44" t="s">
        <v>66</v>
      </c>
      <c r="H5" s="43" t="s">
        <v>67</v>
      </c>
      <c r="I5" s="43" t="s">
        <v>68</v>
      </c>
      <c r="J5" s="16"/>
      <c r="K5" s="16"/>
      <c r="L5" s="16"/>
      <c r="M5" s="16"/>
      <c r="N5" s="16"/>
      <c r="O5" s="16"/>
      <c r="P5" s="16"/>
      <c r="Q5" s="16"/>
      <c r="R5" s="16"/>
      <c r="S5" s="16"/>
      <c r="T5" s="16"/>
      <c r="U5" s="16"/>
      <c r="V5" s="16"/>
      <c r="W5" s="16"/>
      <c r="X5" s="16"/>
      <c r="Y5" s="16"/>
      <c r="Z5" s="16"/>
      <c r="AA5" s="16"/>
    </row>
    <row r="6" ht="15.75" customHeight="1">
      <c r="A6" s="43">
        <v>2.0</v>
      </c>
      <c r="B6" s="43" t="s">
        <v>69</v>
      </c>
      <c r="C6" s="43" t="s">
        <v>70</v>
      </c>
      <c r="D6" s="44" t="s">
        <v>71</v>
      </c>
      <c r="E6" s="44" t="s">
        <v>72</v>
      </c>
      <c r="F6" s="43" t="s">
        <v>73</v>
      </c>
      <c r="G6" s="44" t="s">
        <v>74</v>
      </c>
      <c r="H6" s="43" t="s">
        <v>67</v>
      </c>
      <c r="I6" s="43" t="s">
        <v>75</v>
      </c>
      <c r="J6" s="16"/>
      <c r="K6" s="16"/>
      <c r="L6" s="16"/>
      <c r="M6" s="16"/>
      <c r="N6" s="16"/>
      <c r="O6" s="16"/>
      <c r="P6" s="16"/>
      <c r="Q6" s="16"/>
      <c r="R6" s="16"/>
      <c r="S6" s="16"/>
      <c r="T6" s="16"/>
      <c r="U6" s="16"/>
      <c r="V6" s="16"/>
      <c r="W6" s="16"/>
      <c r="X6" s="16"/>
      <c r="Y6" s="16"/>
      <c r="Z6" s="16"/>
      <c r="AA6" s="16"/>
    </row>
    <row r="7" ht="15.75" customHeight="1">
      <c r="A7" s="43">
        <v>3.0</v>
      </c>
      <c r="B7" s="43" t="s">
        <v>76</v>
      </c>
      <c r="C7" s="43" t="s">
        <v>77</v>
      </c>
      <c r="D7" s="44" t="s">
        <v>78</v>
      </c>
      <c r="E7" s="44" t="s">
        <v>79</v>
      </c>
      <c r="F7" s="43" t="s">
        <v>80</v>
      </c>
      <c r="G7" s="44" t="s">
        <v>81</v>
      </c>
      <c r="H7" s="43" t="s">
        <v>67</v>
      </c>
      <c r="I7" s="43" t="s">
        <v>82</v>
      </c>
      <c r="J7" s="16"/>
      <c r="K7" s="16"/>
      <c r="L7" s="16"/>
      <c r="M7" s="16"/>
      <c r="N7" s="16"/>
      <c r="O7" s="16"/>
      <c r="P7" s="16"/>
      <c r="Q7" s="16"/>
      <c r="R7" s="16"/>
      <c r="S7" s="16"/>
      <c r="T7" s="16"/>
      <c r="U7" s="16"/>
      <c r="V7" s="16"/>
      <c r="W7" s="16"/>
      <c r="X7" s="16"/>
      <c r="Y7" s="16"/>
      <c r="Z7" s="16"/>
      <c r="AA7" s="16"/>
    </row>
    <row r="8" ht="15.75" customHeight="1">
      <c r="A8" s="45"/>
      <c r="B8" s="45"/>
      <c r="C8" s="45"/>
      <c r="D8" s="45"/>
      <c r="E8" s="45"/>
      <c r="F8" s="45"/>
      <c r="G8" s="45"/>
      <c r="H8" s="45"/>
      <c r="I8" s="45"/>
      <c r="J8" s="16"/>
      <c r="K8" s="16"/>
      <c r="L8" s="16"/>
      <c r="M8" s="16"/>
      <c r="N8" s="16"/>
      <c r="O8" s="16"/>
      <c r="P8" s="16"/>
      <c r="Q8" s="16"/>
      <c r="R8" s="16"/>
      <c r="S8" s="16"/>
      <c r="T8" s="16"/>
      <c r="U8" s="16"/>
      <c r="V8" s="16"/>
      <c r="W8" s="16"/>
      <c r="X8" s="16"/>
      <c r="Y8" s="16"/>
      <c r="Z8" s="16"/>
      <c r="AA8" s="16"/>
    </row>
    <row r="9" ht="15.75" customHeight="1">
      <c r="A9" s="45"/>
      <c r="B9" s="45"/>
      <c r="C9" s="45"/>
      <c r="D9" s="45"/>
      <c r="E9" s="45"/>
      <c r="F9" s="45"/>
      <c r="G9" s="45"/>
      <c r="H9" s="45"/>
      <c r="I9" s="45"/>
      <c r="J9" s="16"/>
      <c r="K9" s="16"/>
      <c r="L9" s="16"/>
      <c r="M9" s="16"/>
      <c r="N9" s="16"/>
      <c r="O9" s="16"/>
      <c r="P9" s="16"/>
      <c r="Q9" s="16"/>
      <c r="R9" s="16"/>
      <c r="S9" s="16"/>
      <c r="T9" s="16"/>
      <c r="U9" s="16"/>
      <c r="V9" s="16"/>
      <c r="W9" s="16"/>
      <c r="X9" s="16"/>
      <c r="Y9" s="16"/>
      <c r="Z9" s="16"/>
      <c r="AA9" s="16"/>
    </row>
    <row r="10" ht="15.75" customHeight="1">
      <c r="A10" s="45"/>
      <c r="B10" s="45"/>
      <c r="C10" s="45"/>
      <c r="D10" s="45"/>
      <c r="E10" s="45"/>
      <c r="F10" s="45"/>
      <c r="G10" s="45"/>
      <c r="H10" s="45"/>
      <c r="I10" s="45"/>
      <c r="J10" s="16"/>
      <c r="K10" s="16"/>
      <c r="L10" s="16"/>
      <c r="M10" s="16"/>
      <c r="N10" s="16"/>
      <c r="O10" s="16"/>
      <c r="P10" s="16"/>
      <c r="Q10" s="16"/>
      <c r="R10" s="16"/>
      <c r="S10" s="16"/>
      <c r="T10" s="16"/>
      <c r="U10" s="16"/>
      <c r="V10" s="16"/>
      <c r="W10" s="16"/>
      <c r="X10" s="16"/>
      <c r="Y10" s="16"/>
      <c r="Z10" s="16"/>
      <c r="AA10" s="16"/>
    </row>
    <row r="11" ht="15.75" customHeight="1">
      <c r="A11" s="45"/>
      <c r="B11" s="45"/>
      <c r="C11" s="45"/>
      <c r="D11" s="45"/>
      <c r="E11" s="45"/>
      <c r="F11" s="45"/>
      <c r="G11" s="45"/>
      <c r="H11" s="45"/>
      <c r="I11" s="45"/>
      <c r="J11" s="16"/>
      <c r="K11" s="16"/>
      <c r="L11" s="16"/>
      <c r="M11" s="16"/>
      <c r="N11" s="16"/>
      <c r="O11" s="16"/>
      <c r="P11" s="16"/>
      <c r="Q11" s="16"/>
      <c r="R11" s="16"/>
      <c r="S11" s="16"/>
      <c r="T11" s="16"/>
      <c r="U11" s="16"/>
      <c r="V11" s="16"/>
      <c r="W11" s="16"/>
      <c r="X11" s="16"/>
      <c r="Y11" s="16"/>
      <c r="Z11" s="16"/>
      <c r="AA11" s="16"/>
    </row>
    <row r="12" ht="15.75" customHeight="1">
      <c r="A12" s="45"/>
      <c r="B12" s="45"/>
      <c r="C12" s="45"/>
      <c r="D12" s="45"/>
      <c r="E12" s="45"/>
      <c r="F12" s="45"/>
      <c r="G12" s="45"/>
      <c r="H12" s="45"/>
      <c r="I12" s="45"/>
      <c r="J12" s="16"/>
      <c r="K12" s="16"/>
      <c r="L12" s="16"/>
      <c r="M12" s="16"/>
      <c r="N12" s="16"/>
      <c r="O12" s="16"/>
      <c r="P12" s="16"/>
      <c r="Q12" s="16"/>
      <c r="R12" s="16"/>
      <c r="S12" s="16"/>
      <c r="T12" s="16"/>
      <c r="U12" s="16"/>
      <c r="V12" s="16"/>
      <c r="W12" s="16"/>
      <c r="X12" s="16"/>
      <c r="Y12" s="16"/>
      <c r="Z12" s="16"/>
      <c r="AA12" s="16"/>
    </row>
    <row r="13" ht="15.75" customHeight="1">
      <c r="A13" s="45"/>
      <c r="B13" s="45"/>
      <c r="C13" s="45"/>
      <c r="D13" s="45"/>
      <c r="E13" s="45"/>
      <c r="F13" s="45"/>
      <c r="G13" s="45"/>
      <c r="H13" s="45"/>
      <c r="I13" s="45"/>
      <c r="J13" s="16"/>
      <c r="K13" s="16"/>
      <c r="L13" s="16"/>
      <c r="M13" s="16"/>
      <c r="N13" s="16"/>
      <c r="O13" s="16"/>
      <c r="P13" s="16"/>
      <c r="Q13" s="16"/>
      <c r="R13" s="16"/>
      <c r="S13" s="16"/>
      <c r="T13" s="16"/>
      <c r="U13" s="16"/>
      <c r="V13" s="16"/>
      <c r="W13" s="16"/>
      <c r="X13" s="16"/>
      <c r="Y13" s="16"/>
      <c r="Z13" s="16"/>
      <c r="AA13" s="16"/>
    </row>
    <row r="14" ht="15.75" customHeight="1">
      <c r="A14" s="45"/>
      <c r="B14" s="45"/>
      <c r="C14" s="45"/>
      <c r="D14" s="45"/>
      <c r="E14" s="45"/>
      <c r="F14" s="45"/>
      <c r="G14" s="45"/>
      <c r="H14" s="45"/>
      <c r="I14" s="45"/>
      <c r="J14" s="16"/>
      <c r="K14" s="16"/>
      <c r="L14" s="16"/>
      <c r="M14" s="16"/>
      <c r="N14" s="16"/>
      <c r="O14" s="16"/>
      <c r="P14" s="16"/>
      <c r="Q14" s="16"/>
      <c r="R14" s="16"/>
      <c r="S14" s="16"/>
      <c r="T14" s="16"/>
      <c r="U14" s="16"/>
      <c r="V14" s="16"/>
      <c r="W14" s="16"/>
      <c r="X14" s="16"/>
      <c r="Y14" s="16"/>
      <c r="Z14" s="16"/>
      <c r="AA14" s="16"/>
    </row>
    <row r="15" ht="15.75" customHeight="1">
      <c r="A15" s="45"/>
      <c r="B15" s="45"/>
      <c r="C15" s="45"/>
      <c r="D15" s="45"/>
      <c r="E15" s="45"/>
      <c r="F15" s="45"/>
      <c r="G15" s="45"/>
      <c r="H15" s="45"/>
      <c r="I15" s="45"/>
      <c r="J15" s="16"/>
      <c r="K15" s="16"/>
      <c r="L15" s="16"/>
      <c r="M15" s="16"/>
      <c r="N15" s="16"/>
      <c r="O15" s="16"/>
      <c r="P15" s="16"/>
      <c r="Q15" s="16"/>
      <c r="R15" s="16"/>
      <c r="S15" s="16"/>
      <c r="T15" s="16"/>
      <c r="U15" s="16"/>
      <c r="V15" s="16"/>
      <c r="W15" s="16"/>
      <c r="X15" s="16"/>
      <c r="Y15" s="16"/>
      <c r="Z15" s="16"/>
      <c r="AA15" s="16"/>
    </row>
    <row r="16" ht="15.75" customHeight="1">
      <c r="A16" s="45"/>
      <c r="B16" s="45"/>
      <c r="C16" s="45"/>
      <c r="D16" s="45"/>
      <c r="E16" s="45"/>
      <c r="F16" s="45"/>
      <c r="G16" s="45"/>
      <c r="H16" s="45"/>
      <c r="I16" s="45"/>
      <c r="J16" s="16"/>
      <c r="K16" s="16"/>
      <c r="L16" s="16"/>
      <c r="M16" s="16"/>
      <c r="N16" s="16"/>
      <c r="O16" s="16"/>
      <c r="P16" s="16"/>
      <c r="Q16" s="16"/>
      <c r="R16" s="16"/>
      <c r="S16" s="16"/>
      <c r="T16" s="16"/>
      <c r="U16" s="16"/>
      <c r="V16" s="16"/>
      <c r="W16" s="16"/>
      <c r="X16" s="16"/>
      <c r="Y16" s="16"/>
      <c r="Z16" s="16"/>
      <c r="AA16" s="16"/>
    </row>
    <row r="17" ht="15.75" customHeight="1">
      <c r="A17" s="45"/>
      <c r="B17" s="45"/>
      <c r="C17" s="45"/>
      <c r="D17" s="45"/>
      <c r="E17" s="45"/>
      <c r="F17" s="45"/>
      <c r="G17" s="45"/>
      <c r="H17" s="45"/>
      <c r="I17" s="45"/>
      <c r="J17" s="16"/>
      <c r="K17" s="16"/>
      <c r="L17" s="16"/>
      <c r="M17" s="16"/>
      <c r="N17" s="16"/>
      <c r="O17" s="16"/>
      <c r="P17" s="16"/>
      <c r="Q17" s="16"/>
      <c r="R17" s="16"/>
      <c r="S17" s="16"/>
      <c r="T17" s="16"/>
      <c r="U17" s="16"/>
      <c r="V17" s="16"/>
      <c r="W17" s="16"/>
      <c r="X17" s="16"/>
      <c r="Y17" s="16"/>
      <c r="Z17" s="16"/>
      <c r="AA17" s="16"/>
    </row>
    <row r="18" ht="15.75" customHeight="1">
      <c r="A18" s="45"/>
      <c r="B18" s="45"/>
      <c r="C18" s="45"/>
      <c r="D18" s="45"/>
      <c r="E18" s="45"/>
      <c r="F18" s="45"/>
      <c r="G18" s="45"/>
      <c r="H18" s="45"/>
      <c r="I18" s="45"/>
      <c r="J18" s="16"/>
      <c r="K18" s="16"/>
      <c r="L18" s="16"/>
      <c r="M18" s="16"/>
      <c r="N18" s="16"/>
      <c r="O18" s="16"/>
      <c r="P18" s="16"/>
      <c r="Q18" s="16"/>
      <c r="R18" s="16"/>
      <c r="S18" s="16"/>
      <c r="T18" s="16"/>
      <c r="U18" s="16"/>
      <c r="V18" s="16"/>
      <c r="W18" s="16"/>
      <c r="X18" s="16"/>
      <c r="Y18" s="16"/>
      <c r="Z18" s="16"/>
      <c r="AA18" s="16"/>
    </row>
    <row r="19" ht="15.75" customHeight="1">
      <c r="A19" s="45"/>
      <c r="B19" s="45"/>
      <c r="C19" s="45"/>
      <c r="D19" s="45"/>
      <c r="E19" s="45"/>
      <c r="F19" s="45"/>
      <c r="G19" s="45"/>
      <c r="H19" s="45"/>
      <c r="I19" s="45"/>
      <c r="J19" s="16"/>
      <c r="K19" s="16"/>
      <c r="L19" s="16"/>
      <c r="M19" s="16"/>
      <c r="N19" s="16"/>
      <c r="O19" s="16"/>
      <c r="P19" s="16"/>
      <c r="Q19" s="16"/>
      <c r="R19" s="16"/>
      <c r="S19" s="16"/>
      <c r="T19" s="16"/>
      <c r="U19" s="16"/>
      <c r="V19" s="16"/>
      <c r="W19" s="16"/>
      <c r="X19" s="16"/>
      <c r="Y19" s="16"/>
      <c r="Z19" s="16"/>
      <c r="AA19" s="16"/>
    </row>
    <row r="20" ht="15.75" customHeight="1">
      <c r="A20" s="45"/>
      <c r="B20" s="45"/>
      <c r="C20" s="45"/>
      <c r="D20" s="45"/>
      <c r="E20" s="45"/>
      <c r="F20" s="45"/>
      <c r="G20" s="45"/>
      <c r="H20" s="45"/>
      <c r="I20" s="45"/>
      <c r="J20" s="16"/>
      <c r="K20" s="16"/>
      <c r="L20" s="16"/>
      <c r="M20" s="16"/>
      <c r="N20" s="16"/>
      <c r="O20" s="16"/>
      <c r="P20" s="16"/>
      <c r="Q20" s="16"/>
      <c r="R20" s="16"/>
      <c r="S20" s="16"/>
      <c r="T20" s="16"/>
      <c r="U20" s="16"/>
      <c r="V20" s="16"/>
      <c r="W20" s="16"/>
      <c r="X20" s="16"/>
      <c r="Y20" s="16"/>
      <c r="Z20" s="16"/>
      <c r="AA20" s="16"/>
    </row>
    <row r="21" ht="15.75" customHeight="1">
      <c r="A21" s="45"/>
      <c r="B21" s="45"/>
      <c r="C21" s="45"/>
      <c r="D21" s="45"/>
      <c r="E21" s="45"/>
      <c r="F21" s="45"/>
      <c r="G21" s="45"/>
      <c r="H21" s="45"/>
      <c r="I21" s="45"/>
      <c r="J21" s="16"/>
      <c r="K21" s="16"/>
      <c r="L21" s="16"/>
      <c r="M21" s="16"/>
      <c r="N21" s="16"/>
      <c r="O21" s="16"/>
      <c r="P21" s="16"/>
      <c r="Q21" s="16"/>
      <c r="R21" s="16"/>
      <c r="S21" s="16"/>
      <c r="T21" s="16"/>
      <c r="U21" s="16"/>
      <c r="V21" s="16"/>
      <c r="W21" s="16"/>
      <c r="X21" s="16"/>
      <c r="Y21" s="16"/>
      <c r="Z21" s="16"/>
      <c r="AA21" s="16"/>
    </row>
    <row r="22" ht="15.75" customHeight="1">
      <c r="A22" s="45"/>
      <c r="B22" s="45"/>
      <c r="C22" s="45"/>
      <c r="D22" s="45"/>
      <c r="E22" s="45"/>
      <c r="F22" s="45"/>
      <c r="G22" s="45"/>
      <c r="H22" s="45"/>
      <c r="I22" s="45"/>
      <c r="J22" s="16"/>
      <c r="K22" s="16"/>
      <c r="L22" s="16"/>
      <c r="M22" s="16"/>
      <c r="N22" s="16"/>
      <c r="O22" s="16"/>
      <c r="P22" s="16"/>
      <c r="Q22" s="16"/>
      <c r="R22" s="16"/>
      <c r="S22" s="16"/>
      <c r="T22" s="16"/>
      <c r="U22" s="16"/>
      <c r="V22" s="16"/>
      <c r="W22" s="16"/>
      <c r="X22" s="16"/>
      <c r="Y22" s="16"/>
      <c r="Z22" s="16"/>
      <c r="AA22" s="16"/>
    </row>
    <row r="23" ht="15.75" customHeight="1">
      <c r="A23" s="45"/>
      <c r="B23" s="45"/>
      <c r="C23" s="45"/>
      <c r="D23" s="45"/>
      <c r="E23" s="45"/>
      <c r="F23" s="45"/>
      <c r="G23" s="45"/>
      <c r="H23" s="45"/>
      <c r="I23" s="45"/>
      <c r="J23" s="16"/>
      <c r="K23" s="16"/>
      <c r="L23" s="16"/>
      <c r="M23" s="16"/>
      <c r="N23" s="16"/>
      <c r="O23" s="16"/>
      <c r="P23" s="16"/>
      <c r="Q23" s="16"/>
      <c r="R23" s="16"/>
      <c r="S23" s="16"/>
      <c r="T23" s="16"/>
      <c r="U23" s="16"/>
      <c r="V23" s="16"/>
      <c r="W23" s="16"/>
      <c r="X23" s="16"/>
      <c r="Y23" s="16"/>
      <c r="Z23" s="16"/>
      <c r="AA23" s="16"/>
    </row>
    <row r="24" ht="15.75" customHeight="1">
      <c r="A24" s="45"/>
      <c r="B24" s="45"/>
      <c r="C24" s="45"/>
      <c r="D24" s="45"/>
      <c r="E24" s="45"/>
      <c r="F24" s="45"/>
      <c r="G24" s="45"/>
      <c r="H24" s="45"/>
      <c r="I24" s="45"/>
      <c r="J24" s="16"/>
      <c r="K24" s="16"/>
      <c r="L24" s="16"/>
      <c r="M24" s="16"/>
      <c r="N24" s="16"/>
      <c r="O24" s="16"/>
      <c r="P24" s="16"/>
      <c r="Q24" s="16"/>
      <c r="R24" s="16"/>
      <c r="S24" s="16"/>
      <c r="T24" s="16"/>
      <c r="U24" s="16"/>
      <c r="V24" s="16"/>
      <c r="W24" s="16"/>
      <c r="X24" s="16"/>
      <c r="Y24" s="16"/>
      <c r="Z24" s="16"/>
      <c r="AA24" s="16"/>
    </row>
    <row r="25" ht="15.75" customHeight="1">
      <c r="A25" s="45"/>
      <c r="B25" s="45"/>
      <c r="C25" s="45"/>
      <c r="D25" s="45"/>
      <c r="E25" s="45"/>
      <c r="F25" s="45"/>
      <c r="G25" s="45"/>
      <c r="H25" s="45"/>
      <c r="I25" s="45"/>
      <c r="J25" s="16"/>
      <c r="K25" s="16"/>
      <c r="L25" s="16"/>
      <c r="M25" s="16"/>
      <c r="N25" s="16"/>
      <c r="O25" s="16"/>
      <c r="P25" s="16"/>
      <c r="Q25" s="16"/>
      <c r="R25" s="16"/>
      <c r="S25" s="16"/>
      <c r="T25" s="16"/>
      <c r="U25" s="16"/>
      <c r="V25" s="16"/>
      <c r="W25" s="16"/>
      <c r="X25" s="16"/>
      <c r="Y25" s="16"/>
      <c r="Z25" s="16"/>
      <c r="AA25" s="16"/>
    </row>
    <row r="26" ht="15.75" customHeight="1"/>
    <row r="27" ht="15.75" customHeight="1">
      <c r="A27" s="46" t="s">
        <v>83</v>
      </c>
    </row>
    <row r="28" ht="15.75" customHeight="1">
      <c r="A28" s="47" t="s">
        <v>84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4:F25">
      <formula1>References!$I$4:$I$7</formula1>
    </dataValidation>
    <dataValidation type="list" allowBlank="1" sqref="H4:H25">
      <formula1>References!$J$4:$J$7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4.13"/>
    <col customWidth="1" min="2" max="7" width="50.13"/>
  </cols>
  <sheetData>
    <row r="1" ht="15.75" customHeight="1">
      <c r="A1" s="48" t="s">
        <v>85</v>
      </c>
      <c r="B1" s="16"/>
      <c r="C1" s="16"/>
      <c r="D1" s="16"/>
      <c r="E1" s="16"/>
      <c r="F1" s="16"/>
      <c r="G1" s="16"/>
      <c r="H1" s="16"/>
      <c r="I1" s="16"/>
      <c r="J1" s="16"/>
      <c r="K1" s="16"/>
      <c r="L1" s="16"/>
      <c r="M1" s="16"/>
      <c r="N1" s="16"/>
      <c r="O1" s="16"/>
      <c r="P1" s="16"/>
      <c r="Q1" s="16"/>
      <c r="R1" s="16"/>
      <c r="S1" s="16"/>
      <c r="T1" s="16"/>
      <c r="U1" s="16"/>
      <c r="V1" s="16"/>
      <c r="W1" s="16"/>
      <c r="X1" s="16"/>
      <c r="Y1" s="16"/>
      <c r="Z1" s="16"/>
    </row>
    <row r="2" ht="15.75" customHeight="1">
      <c r="A2" s="16"/>
      <c r="B2" s="16"/>
      <c r="C2" s="16"/>
      <c r="D2" s="16"/>
      <c r="E2" s="16"/>
      <c r="F2" s="16"/>
      <c r="G2" s="16"/>
      <c r="H2" s="16"/>
      <c r="I2" s="16"/>
      <c r="J2" s="16"/>
      <c r="K2" s="16"/>
      <c r="L2" s="16"/>
      <c r="M2" s="16"/>
      <c r="N2" s="16"/>
      <c r="O2" s="16"/>
      <c r="P2" s="16"/>
      <c r="Q2" s="16"/>
      <c r="R2" s="16"/>
      <c r="S2" s="16"/>
      <c r="T2" s="16"/>
      <c r="U2" s="16"/>
      <c r="V2" s="16"/>
      <c r="W2" s="16"/>
      <c r="X2" s="16"/>
      <c r="Y2" s="16"/>
      <c r="Z2" s="16"/>
    </row>
    <row r="3" ht="24.0" customHeight="1">
      <c r="A3" s="49" t="s">
        <v>11</v>
      </c>
      <c r="B3" s="49" t="s">
        <v>86</v>
      </c>
      <c r="C3" s="49" t="s">
        <v>87</v>
      </c>
      <c r="D3" s="49" t="s">
        <v>88</v>
      </c>
      <c r="E3" s="49" t="s">
        <v>89</v>
      </c>
      <c r="F3" s="49" t="s">
        <v>90</v>
      </c>
      <c r="G3" s="49" t="s">
        <v>91</v>
      </c>
      <c r="H3" s="16"/>
      <c r="I3" s="16"/>
      <c r="J3" s="16"/>
      <c r="K3" s="16"/>
      <c r="L3" s="16"/>
      <c r="M3" s="16"/>
      <c r="N3" s="16"/>
      <c r="O3" s="16"/>
      <c r="P3" s="16"/>
      <c r="Q3" s="16"/>
      <c r="R3" s="16"/>
      <c r="S3" s="16"/>
      <c r="T3" s="16"/>
      <c r="U3" s="16"/>
      <c r="V3" s="16"/>
      <c r="W3" s="16"/>
      <c r="X3" s="16"/>
      <c r="Y3" s="16"/>
      <c r="Z3" s="16"/>
    </row>
    <row r="4" ht="225.0" customHeight="1">
      <c r="A4" s="50" t="s">
        <v>54</v>
      </c>
      <c r="B4" s="51"/>
      <c r="C4" s="51"/>
      <c r="D4" s="51"/>
      <c r="E4" s="51"/>
      <c r="F4" s="51"/>
      <c r="G4" s="51"/>
      <c r="H4" s="16"/>
      <c r="I4" s="16"/>
      <c r="J4" s="16"/>
      <c r="K4" s="16"/>
      <c r="L4" s="16"/>
      <c r="M4" s="16"/>
      <c r="N4" s="16"/>
      <c r="O4" s="16"/>
      <c r="P4" s="16"/>
      <c r="Q4" s="16"/>
      <c r="R4" s="16"/>
      <c r="S4" s="16"/>
      <c r="T4" s="16"/>
      <c r="U4" s="16"/>
      <c r="V4" s="16"/>
      <c r="W4" s="16"/>
      <c r="X4" s="16"/>
      <c r="Y4" s="16"/>
      <c r="Z4" s="16"/>
    </row>
    <row r="5" ht="156.0" customHeight="1">
      <c r="A5" s="52"/>
      <c r="B5" s="53" t="s">
        <v>92</v>
      </c>
      <c r="C5" s="53" t="s">
        <v>93</v>
      </c>
      <c r="D5" s="53" t="s">
        <v>94</v>
      </c>
      <c r="E5" s="53" t="s">
        <v>95</v>
      </c>
      <c r="F5" s="53" t="s">
        <v>96</v>
      </c>
      <c r="G5" s="53" t="s">
        <v>97</v>
      </c>
      <c r="H5" s="16"/>
      <c r="I5" s="16"/>
      <c r="J5" s="16"/>
      <c r="K5" s="16"/>
      <c r="L5" s="16"/>
      <c r="M5" s="16"/>
      <c r="N5" s="16"/>
      <c r="O5" s="16"/>
      <c r="P5" s="16"/>
      <c r="Q5" s="16"/>
      <c r="R5" s="16"/>
      <c r="S5" s="16"/>
      <c r="T5" s="16"/>
      <c r="U5" s="16"/>
      <c r="V5" s="16"/>
      <c r="W5" s="16"/>
      <c r="X5" s="16"/>
      <c r="Y5" s="16"/>
      <c r="Z5" s="16"/>
    </row>
    <row r="6" ht="225.0" customHeight="1">
      <c r="A6" s="54" t="s">
        <v>98</v>
      </c>
      <c r="B6" s="51" t="s">
        <v>99</v>
      </c>
      <c r="C6" s="51" t="s">
        <v>99</v>
      </c>
      <c r="D6" s="51" t="s">
        <v>99</v>
      </c>
      <c r="E6" s="51" t="s">
        <v>99</v>
      </c>
      <c r="F6" s="51" t="s">
        <v>99</v>
      </c>
      <c r="G6" s="51" t="s">
        <v>99</v>
      </c>
      <c r="H6" s="16"/>
      <c r="I6" s="16"/>
      <c r="J6" s="16"/>
      <c r="K6" s="16"/>
      <c r="L6" s="16"/>
      <c r="M6" s="16"/>
      <c r="N6" s="16"/>
      <c r="O6" s="16"/>
      <c r="P6" s="16"/>
      <c r="Q6" s="16"/>
      <c r="R6" s="16"/>
      <c r="S6" s="16"/>
      <c r="T6" s="16"/>
      <c r="U6" s="16"/>
      <c r="V6" s="16"/>
      <c r="W6" s="16"/>
      <c r="X6" s="16"/>
      <c r="Y6" s="16"/>
      <c r="Z6" s="16"/>
    </row>
    <row r="7" ht="15.75" customHeight="1">
      <c r="A7" s="52"/>
      <c r="B7" s="55" t="s">
        <v>100</v>
      </c>
      <c r="C7" s="55" t="s">
        <v>100</v>
      </c>
      <c r="D7" s="55" t="s">
        <v>100</v>
      </c>
      <c r="E7" s="55" t="s">
        <v>100</v>
      </c>
      <c r="F7" s="55" t="s">
        <v>100</v>
      </c>
      <c r="G7" s="55" t="s">
        <v>100</v>
      </c>
      <c r="H7" s="16"/>
      <c r="I7" s="16"/>
      <c r="J7" s="16"/>
      <c r="K7" s="16"/>
      <c r="L7" s="16"/>
      <c r="M7" s="16"/>
      <c r="N7" s="16"/>
      <c r="O7" s="16"/>
      <c r="P7" s="16"/>
      <c r="Q7" s="16"/>
      <c r="R7" s="16"/>
      <c r="S7" s="16"/>
      <c r="T7" s="16"/>
      <c r="U7" s="16"/>
      <c r="V7" s="16"/>
      <c r="W7" s="16"/>
      <c r="X7" s="16"/>
      <c r="Y7" s="16"/>
      <c r="Z7" s="16"/>
    </row>
    <row r="8" ht="225.0" customHeight="1">
      <c r="A8" s="54" t="s">
        <v>98</v>
      </c>
      <c r="B8" s="51" t="s">
        <v>99</v>
      </c>
      <c r="C8" s="51" t="s">
        <v>99</v>
      </c>
      <c r="D8" s="51" t="s">
        <v>99</v>
      </c>
      <c r="E8" s="51" t="s">
        <v>99</v>
      </c>
      <c r="F8" s="51" t="s">
        <v>99</v>
      </c>
      <c r="G8" s="51" t="s">
        <v>99</v>
      </c>
      <c r="H8" s="16"/>
      <c r="I8" s="16"/>
      <c r="J8" s="16"/>
      <c r="K8" s="16"/>
      <c r="L8" s="16"/>
      <c r="M8" s="16"/>
      <c r="N8" s="16"/>
      <c r="O8" s="16"/>
      <c r="P8" s="16"/>
      <c r="Q8" s="16"/>
      <c r="R8" s="16"/>
      <c r="S8" s="16"/>
      <c r="T8" s="16"/>
      <c r="U8" s="16"/>
      <c r="V8" s="16"/>
      <c r="W8" s="16"/>
      <c r="X8" s="16"/>
      <c r="Y8" s="16"/>
      <c r="Z8" s="16"/>
    </row>
    <row r="9" ht="15.75" customHeight="1">
      <c r="A9" s="52"/>
      <c r="B9" s="55" t="s">
        <v>100</v>
      </c>
      <c r="C9" s="55" t="s">
        <v>100</v>
      </c>
      <c r="D9" s="55" t="s">
        <v>100</v>
      </c>
      <c r="E9" s="55" t="s">
        <v>100</v>
      </c>
      <c r="F9" s="55" t="s">
        <v>100</v>
      </c>
      <c r="G9" s="55" t="s">
        <v>100</v>
      </c>
      <c r="H9" s="16"/>
      <c r="I9" s="16"/>
      <c r="J9" s="16"/>
      <c r="K9" s="16"/>
      <c r="L9" s="16"/>
      <c r="M9" s="16"/>
      <c r="N9" s="16"/>
      <c r="O9" s="16"/>
      <c r="P9" s="16"/>
      <c r="Q9" s="16"/>
      <c r="R9" s="16"/>
      <c r="S9" s="16"/>
      <c r="T9" s="16"/>
      <c r="U9" s="16"/>
      <c r="V9" s="16"/>
      <c r="W9" s="16"/>
      <c r="X9" s="16"/>
      <c r="Y9" s="16"/>
      <c r="Z9" s="16"/>
    </row>
    <row r="10" ht="15.75" customHeight="1">
      <c r="A10" s="55"/>
      <c r="B10" s="55"/>
      <c r="C10" s="55"/>
      <c r="D10" s="55"/>
      <c r="E10" s="55"/>
      <c r="F10" s="55"/>
      <c r="G10" s="55"/>
      <c r="H10" s="16"/>
      <c r="I10" s="16"/>
      <c r="J10" s="16"/>
      <c r="K10" s="16"/>
      <c r="L10" s="16"/>
      <c r="M10" s="16"/>
      <c r="N10" s="16"/>
      <c r="O10" s="16"/>
      <c r="P10" s="16"/>
      <c r="Q10" s="16"/>
      <c r="R10" s="16"/>
      <c r="S10" s="16"/>
      <c r="T10" s="16"/>
      <c r="U10" s="16"/>
      <c r="V10" s="16"/>
      <c r="W10" s="16"/>
      <c r="X10" s="16"/>
      <c r="Y10" s="16"/>
      <c r="Z10" s="16"/>
    </row>
    <row r="11" ht="15.75" customHeight="1">
      <c r="A11" s="55"/>
      <c r="B11" s="55"/>
      <c r="C11" s="55"/>
      <c r="D11" s="55"/>
      <c r="E11" s="55"/>
      <c r="F11" s="55"/>
      <c r="G11" s="55"/>
      <c r="H11" s="16"/>
      <c r="I11" s="16"/>
      <c r="J11" s="16"/>
      <c r="K11" s="16"/>
      <c r="L11" s="16"/>
      <c r="M11" s="16"/>
      <c r="N11" s="16"/>
      <c r="O11" s="16"/>
      <c r="P11" s="16"/>
      <c r="Q11" s="16"/>
      <c r="R11" s="16"/>
      <c r="S11" s="16"/>
      <c r="T11" s="16"/>
      <c r="U11" s="16"/>
      <c r="V11" s="16"/>
      <c r="W11" s="16"/>
      <c r="X11" s="16"/>
      <c r="Y11" s="16"/>
      <c r="Z11" s="16"/>
    </row>
    <row r="12" ht="15.75" customHeight="1">
      <c r="A12" s="55"/>
      <c r="B12" s="55"/>
      <c r="C12" s="55"/>
      <c r="D12" s="55"/>
      <c r="E12" s="55"/>
      <c r="F12" s="55"/>
      <c r="G12" s="55"/>
      <c r="H12" s="16"/>
      <c r="I12" s="16"/>
      <c r="J12" s="16"/>
      <c r="K12" s="16"/>
      <c r="L12" s="16"/>
      <c r="M12" s="16"/>
      <c r="N12" s="16"/>
      <c r="O12" s="16"/>
      <c r="P12" s="16"/>
      <c r="Q12" s="16"/>
      <c r="R12" s="16"/>
      <c r="S12" s="16"/>
      <c r="T12" s="16"/>
      <c r="U12" s="16"/>
      <c r="V12" s="16"/>
      <c r="W12" s="16"/>
      <c r="X12" s="16"/>
      <c r="Y12" s="16"/>
      <c r="Z12" s="16"/>
    </row>
    <row r="13" ht="15.75" customHeight="1">
      <c r="A13" s="55"/>
      <c r="B13" s="55"/>
      <c r="C13" s="55"/>
      <c r="D13" s="55"/>
      <c r="E13" s="55"/>
      <c r="F13" s="55"/>
      <c r="G13" s="55"/>
      <c r="H13" s="16"/>
      <c r="I13" s="16"/>
      <c r="J13" s="16"/>
      <c r="K13" s="16"/>
      <c r="L13" s="16"/>
      <c r="M13" s="16"/>
      <c r="N13" s="16"/>
      <c r="O13" s="16"/>
      <c r="P13" s="16"/>
      <c r="Q13" s="16"/>
      <c r="R13" s="16"/>
      <c r="S13" s="16"/>
      <c r="T13" s="16"/>
      <c r="U13" s="16"/>
      <c r="V13" s="16"/>
      <c r="W13" s="16"/>
      <c r="X13" s="16"/>
      <c r="Y13" s="16"/>
      <c r="Z13" s="16"/>
    </row>
    <row r="14" ht="15.75" customHeight="1">
      <c r="A14" s="55"/>
      <c r="B14" s="55"/>
      <c r="C14" s="55"/>
      <c r="D14" s="55"/>
      <c r="E14" s="55"/>
      <c r="F14" s="55"/>
      <c r="G14" s="55"/>
      <c r="H14" s="16"/>
      <c r="I14" s="16"/>
      <c r="J14" s="16"/>
      <c r="K14" s="16"/>
      <c r="L14" s="16"/>
      <c r="M14" s="16"/>
      <c r="N14" s="16"/>
      <c r="O14" s="16"/>
      <c r="P14" s="16"/>
      <c r="Q14" s="16"/>
      <c r="R14" s="16"/>
      <c r="S14" s="16"/>
      <c r="T14" s="16"/>
      <c r="U14" s="16"/>
      <c r="V14" s="16"/>
      <c r="W14" s="16"/>
      <c r="X14" s="16"/>
      <c r="Y14" s="16"/>
      <c r="Z14" s="16"/>
    </row>
    <row r="15" ht="15.75" customHeight="1">
      <c r="A15" s="55"/>
      <c r="B15" s="55"/>
      <c r="C15" s="55"/>
      <c r="D15" s="55"/>
      <c r="E15" s="55"/>
      <c r="F15" s="55"/>
      <c r="G15" s="55"/>
      <c r="H15" s="16"/>
      <c r="I15" s="16"/>
      <c r="J15" s="16"/>
      <c r="K15" s="16"/>
      <c r="L15" s="16"/>
      <c r="M15" s="16"/>
      <c r="N15" s="16"/>
      <c r="O15" s="16"/>
      <c r="P15" s="16"/>
      <c r="Q15" s="16"/>
      <c r="R15" s="16"/>
      <c r="S15" s="16"/>
      <c r="T15" s="16"/>
      <c r="U15" s="16"/>
      <c r="V15" s="16"/>
      <c r="W15" s="16"/>
      <c r="X15" s="16"/>
      <c r="Y15" s="16"/>
      <c r="Z15" s="16"/>
    </row>
    <row r="16" ht="15.75" customHeight="1">
      <c r="A16" s="55"/>
      <c r="B16" s="55"/>
      <c r="C16" s="55"/>
      <c r="D16" s="55"/>
      <c r="E16" s="55"/>
      <c r="F16" s="55"/>
      <c r="G16" s="55"/>
      <c r="H16" s="16"/>
      <c r="I16" s="16"/>
      <c r="J16" s="16"/>
      <c r="K16" s="16"/>
      <c r="L16" s="16"/>
      <c r="M16" s="16"/>
      <c r="N16" s="16"/>
      <c r="O16" s="16"/>
      <c r="P16" s="16"/>
      <c r="Q16" s="16"/>
      <c r="R16" s="16"/>
      <c r="S16" s="16"/>
      <c r="T16" s="16"/>
      <c r="U16" s="16"/>
      <c r="V16" s="16"/>
      <c r="W16" s="16"/>
      <c r="X16" s="16"/>
      <c r="Y16" s="16"/>
      <c r="Z16" s="16"/>
    </row>
    <row r="17" ht="15.75" customHeight="1">
      <c r="A17" s="55"/>
      <c r="B17" s="55"/>
      <c r="C17" s="55"/>
      <c r="D17" s="55"/>
      <c r="E17" s="55"/>
      <c r="F17" s="55"/>
      <c r="G17" s="55"/>
      <c r="H17" s="16"/>
      <c r="I17" s="16"/>
      <c r="J17" s="16"/>
      <c r="K17" s="16"/>
      <c r="L17" s="16"/>
      <c r="M17" s="16"/>
      <c r="N17" s="16"/>
      <c r="O17" s="16"/>
      <c r="P17" s="16"/>
      <c r="Q17" s="16"/>
      <c r="R17" s="16"/>
      <c r="S17" s="16"/>
      <c r="T17" s="16"/>
      <c r="U17" s="16"/>
      <c r="V17" s="16"/>
      <c r="W17" s="16"/>
      <c r="X17" s="16"/>
      <c r="Y17" s="16"/>
      <c r="Z17" s="16"/>
    </row>
    <row r="18" ht="15.75" customHeight="1">
      <c r="A18" s="55"/>
      <c r="B18" s="55"/>
      <c r="C18" s="55"/>
      <c r="D18" s="55"/>
      <c r="E18" s="55"/>
      <c r="F18" s="55"/>
      <c r="G18" s="55"/>
      <c r="H18" s="16"/>
      <c r="I18" s="16"/>
      <c r="J18" s="16"/>
      <c r="K18" s="16"/>
      <c r="L18" s="16"/>
      <c r="M18" s="16"/>
      <c r="N18" s="16"/>
      <c r="O18" s="16"/>
      <c r="P18" s="16"/>
      <c r="Q18" s="16"/>
      <c r="R18" s="16"/>
      <c r="S18" s="16"/>
      <c r="T18" s="16"/>
      <c r="U18" s="16"/>
      <c r="V18" s="16"/>
      <c r="W18" s="16"/>
      <c r="X18" s="16"/>
      <c r="Y18" s="16"/>
      <c r="Z18" s="16"/>
    </row>
    <row r="19" ht="15.75" customHeight="1">
      <c r="A19" s="55"/>
      <c r="B19" s="55"/>
      <c r="C19" s="55"/>
      <c r="D19" s="55"/>
      <c r="E19" s="55"/>
      <c r="F19" s="55"/>
      <c r="G19" s="55"/>
      <c r="H19" s="16"/>
      <c r="I19" s="16"/>
      <c r="J19" s="16"/>
      <c r="K19" s="16"/>
      <c r="L19" s="16"/>
      <c r="M19" s="16"/>
      <c r="N19" s="16"/>
      <c r="O19" s="16"/>
      <c r="P19" s="16"/>
      <c r="Q19" s="16"/>
      <c r="R19" s="16"/>
      <c r="S19" s="16"/>
      <c r="T19" s="16"/>
      <c r="U19" s="16"/>
      <c r="V19" s="16"/>
      <c r="W19" s="16"/>
      <c r="X19" s="16"/>
      <c r="Y19" s="16"/>
      <c r="Z19" s="16"/>
    </row>
    <row r="20" ht="15.75" customHeight="1">
      <c r="A20" s="55"/>
      <c r="B20" s="55"/>
      <c r="C20" s="55"/>
      <c r="D20" s="55"/>
      <c r="E20" s="55"/>
      <c r="F20" s="55"/>
      <c r="G20" s="55"/>
      <c r="H20" s="16"/>
      <c r="I20" s="16"/>
      <c r="J20" s="16"/>
      <c r="K20" s="16"/>
      <c r="L20" s="16"/>
      <c r="M20" s="16"/>
      <c r="N20" s="16"/>
      <c r="O20" s="16"/>
      <c r="P20" s="16"/>
      <c r="Q20" s="16"/>
      <c r="R20" s="16"/>
      <c r="S20" s="16"/>
      <c r="T20" s="16"/>
      <c r="U20" s="16"/>
      <c r="V20" s="16"/>
      <c r="W20" s="16"/>
      <c r="X20" s="16"/>
      <c r="Y20" s="16"/>
      <c r="Z20" s="16"/>
    </row>
    <row r="21" ht="15.75" customHeight="1">
      <c r="A21" s="55"/>
      <c r="B21" s="55"/>
      <c r="C21" s="55"/>
      <c r="D21" s="55"/>
      <c r="E21" s="55"/>
      <c r="F21" s="55"/>
      <c r="G21" s="55"/>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46" t="s">
        <v>83</v>
      </c>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47" t="s">
        <v>101</v>
      </c>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56" t="s">
        <v>102</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A5"/>
    <mergeCell ref="A6:A7"/>
    <mergeCell ref="A8:A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0.38"/>
    <col customWidth="1" min="2" max="2" width="31.63"/>
    <col customWidth="1" min="3" max="5" width="15.13"/>
    <col customWidth="1" min="6" max="6" width="15.88"/>
    <col customWidth="1" min="7" max="7" width="18.75"/>
    <col customWidth="1" min="8" max="10" width="15.13"/>
  </cols>
  <sheetData>
    <row r="1" ht="15.75" customHeight="1">
      <c r="A1" s="2" t="s">
        <v>103</v>
      </c>
    </row>
    <row r="2" ht="15.75" customHeight="1"/>
    <row r="3" ht="55.5" customHeight="1">
      <c r="A3" s="57" t="s">
        <v>11</v>
      </c>
      <c r="B3" s="57" t="s">
        <v>46</v>
      </c>
      <c r="C3" s="57" t="s">
        <v>104</v>
      </c>
      <c r="D3" s="57" t="s">
        <v>105</v>
      </c>
      <c r="E3" s="57" t="s">
        <v>106</v>
      </c>
      <c r="F3" s="57" t="s">
        <v>107</v>
      </c>
      <c r="G3" s="57" t="s">
        <v>108</v>
      </c>
      <c r="H3" s="57" t="s">
        <v>109</v>
      </c>
      <c r="I3" s="57" t="s">
        <v>110</v>
      </c>
      <c r="J3" s="57" t="s">
        <v>111</v>
      </c>
      <c r="K3" s="57" t="s">
        <v>112</v>
      </c>
      <c r="L3" s="57" t="s">
        <v>50</v>
      </c>
      <c r="M3" s="57" t="s">
        <v>113</v>
      </c>
      <c r="N3" s="58"/>
      <c r="O3" s="58"/>
      <c r="P3" s="58"/>
      <c r="Q3" s="58"/>
      <c r="R3" s="58"/>
      <c r="S3" s="58"/>
      <c r="T3" s="58"/>
      <c r="U3" s="58"/>
      <c r="V3" s="58"/>
      <c r="W3" s="58"/>
      <c r="X3" s="58"/>
      <c r="Y3" s="58"/>
      <c r="Z3" s="58"/>
      <c r="AA3" s="58"/>
    </row>
    <row r="4" ht="69.75" customHeight="1">
      <c r="A4" s="10">
        <v>1.0</v>
      </c>
      <c r="B4" s="10" t="s">
        <v>62</v>
      </c>
      <c r="C4" s="10" t="s">
        <v>114</v>
      </c>
      <c r="D4" s="10" t="s">
        <v>115</v>
      </c>
      <c r="E4" s="10" t="s">
        <v>116</v>
      </c>
      <c r="F4" s="10" t="s">
        <v>116</v>
      </c>
      <c r="G4" s="10" t="s">
        <v>117</v>
      </c>
      <c r="H4" s="10" t="s">
        <v>118</v>
      </c>
      <c r="I4" s="10" t="s">
        <v>118</v>
      </c>
      <c r="J4" s="10" t="s">
        <v>118</v>
      </c>
      <c r="K4" s="59">
        <f>IFERROR(__xludf.DUMMYFUNCTION("SINGLE(IF(AND(C4&lt;&gt;"""",D4&lt;&gt;"""",E4&lt;&gt;"""",F4&lt;&gt;"""",G4&lt;&gt;"""",H4&lt;&gt;"""",I4&lt;&gt;"""",J4&lt;&gt;""""),IF((SINGLE(IFS(G4 = ""Unchanged (U)"", 6.42 * (1-((1-(SINGLE(IFS(H4 = ""None (N)"", 0, H4 = ""Low (L)"", 0.22, H4 = ""High (H)"", 0.56))))*(1-(SINGLE(IFS(I4 = ""None (N"&amp;")"", 0, I4 = ""Low (L)"", 0.22, I4 = ""High (H)"", 0.56))))*(1-(SINGLE(IFS(J4 = ""None (N)"", 0, J4 = ""Low (L)"", 0.22, J4 = ""High (H)"", 0.56)))))), G4 = ""Changed (C)"", 7.52 * ((1-((1-(SINGLE(IFS(H4 = ""None (N)"", 0, H4 = ""Low (L)"", 0.22, H4 = ""H"&amp;"igh (H)"", 0.56))))*(1-(SINGLE(IFS(I4 = ""None (N)"", 0, I4 = ""Low (L)"", 0.22, I4 = ""High (H)"", 0.56))))*(1-(SINGLE(IFS(J4 = ""None (N)"", 0, J4 = ""Low (L)"", 0.22, J4 = ""High (H)"", 0.56)))))) - 0.029) - 3.25 *SINGLE(pow((1-((1-(SINGLE(IFS(H4 = ""N"&amp;"one (N)"", 0, H4 = ""Low (L)"", 0.22, H4 = ""High (H)"", 0.56))))*(1-(SINGLE(IFS(I4 = ""None (N)"", 0, I4 = ""Low (L)"", 0.22, I4 = ""High (H)"", 0.56))))*(1-(SINGLE(IFS(J4 = ""None (N)"", 0, J4 = ""Low (L)"", 0.22, J4 = ""High (H)"", 0.56)))))) - 0.02,15"&amp;"))))) &lt;= 0, 0, IFS(G4 = ""Unchanged (U)"", ROUNDUP(MIN(SINGLE(IF(G4 &lt;&gt; """", IFS(G4 = ""Unchanged (U)"", 6.42 * (1-((1-(SINGLE(IFS(H4 = ""None (N)"", 0, H4 = ""Low (L)"", 0.22, H4 = ""High (H)"", 0.56))))*(1-(SINGLE(IFS(I4 = ""None (N)"", 0, I4 = ""Low (L"&amp;")"", 0.22, I4 = ""High (H)"", 0.56))))*(1-(SINGLE(IFS(J4 = ""None (N)"", 0, J4 = ""Low (L)"", 0.22, J4 = ""High (H)"", 0.56)))))), G4 = ""Changed (C)"", 7.52 * ((1-((1-(SINGLE(IFS(H4 = ""None (N)"", 0, H4 = ""Low (L)"", 0.22, H4 = ""High (H)"", 0.56))))*("&amp;"1-(SINGLE(IFS(I4 = ""None (N)"", 0, I4 = ""Low (L)"", 0.22, I4 = ""High (H)"", 0.56))))*(1-(SINGLE(IFS(J4 = ""None (N)"", 0, J4 = ""Low (L)"", 0.22, J4 = ""High (H)"", 0.56)))))) - 0.029) - 3.25 *SINGLE(pow((1-((1-(SINGLE(IFS(H4 = ""None (N)"", 0, H4 = """&amp;"Low (L)"", 0.22, H4 = ""High (H)"", 0.56))))*(1-(SINGLE(IFS(I4 = ""None (N)"", 0, I4 = ""Low (L)"", 0.22, I4 = ""High (H)"", 0.56))))*(1-(SINGLE(IFS(J4 = ""None (N)"", 0, J4 = ""Low (L)"", 0.22, J4 = ""High (H)"", 0.56)))))) - 0.02,15))), """")) + 8.22 *S"&amp;"INGLE( IFS(C4 = ""Network (N)"", 0.85, C4 = ""Adjacent (A)"", 0.62, C4 = ""Local (L)"", 0.55, C4 = ""Physical (P)"",0.2)) *SINGLE(IFS(D4 = ""Low (L)"", 0.77, D4 = ""High (H)"", 0.44)) *SINGLE(IFS(E4 = ""None (N)"", 0.85, AND(E4 = ""Low (L)"", G4 = ""Uncha"&amp;"nged (U)""), 0.62, AND(E4 = ""Low (L)"", G4 = ""Changed (C)""), 0.68, AND(E4 = ""High (H)"", G4 = ""Unchanged (U)""), 0.27, AND(E4 = ""High (H)"", G4 = ""Changed (C)""), 0.5)) *SINGLE(IFS(F4 = ""None (N)"", 0.85, F4 = ""Required (R)"", 0.62)),10),1), G4 ="&amp;" ""Changed (C)"", ROUNDUP(MIN(1.08 * (SINGLE(IF(G4 &lt;&gt; """", IFS(G4 = ""Unchanged (U)"", 6.42 * (1-((1-(SINGLE(IFS(H4 = ""None (N)"", 0, H4 = ""Low (L)"", 0.22, H4 = ""High (H)"", 0.56))))*(1-(SINGLE(IFS(I4 = ""None (N)"", 0, I4 = ""Low (L)"", 0.22, I4 = "&amp;"""High (H)"", 0.56))))*(1-(SINGLE(IFS(J4 = ""None (N)"", 0, J4 = ""Low (L)"", 0.22, J4 = ""High (H)"", 0.56)))))), G4 = ""Changed (C)"", 7.52 * ((1-((1-(SINGLE(IFS(H4 = ""None (N)"", 0, H4 = ""Low (L)"", 0.22, H4 = ""High (H)"", 0.56))))*(1-(SINGLE(IFS(I4"&amp;" = ""None (N)"", 0, I4 = ""Low (L)"", 0.22, I4 = ""High (H)"", 0.56))))*(1-(SINGLE(IFS(J4 = ""None (N)"", 0, J4 = ""Low (L)"", 0.22, J4 = ""High (H)"", 0.56)))))) - 0.029) - 3.25 *SINGLE(pow((1-((1-(SINGLE(IFS(H4 = ""None (N)"", 0, H4 = ""Low (L)"", 0.22,"&amp;" H4 = ""High (H)"", 0.56))))*(1-(SINGLE(IFS(I4 = ""None (N)"", 0, I4 = ""Low (L)"", 0.22, I4 = ""High (H)"", 0.56))))*(1-(SINGLE(IFS(J4 = ""None (N)"", 0, J4 = ""Low (L)"", 0.22, J4 = ""High (H)"", 0.56)))))) - 0.02,15))), """")) + 8.22 *SINGLE( IFS(C4 = "&amp;"""Network (N)"", 0.85, C4 = ""Adjacent (A)"", 0.62, C4 = ""Local (L)"", 0.55, C4 = ""Physical (P)"",0.2)) *SINGLE(IFS(D4 = ""Low (L)"", 0.77, D4 = ""High (H)"", 0.44)) *SINGLE(IFS(E4 = ""None (N)"", 0.85, AND(E4 = ""Low (L)"", G4 = ""Unchanged (U)""), 0.6"&amp;"2, AND(E4 = ""Low (L)"", G4 = ""Changed (C)""), 0.68, AND(E4 = ""High (H)"", G4 = ""Unchanged (U)""), 0.27, AND(E4 = ""High (H)"", G4 = ""Changed (C)""), 0.5)) *SINGLE(IFS(F4 = ""None (N)"", 0.85, F4 = ""Required (R)"", 0.62))),10),1))),""""))"),9.8)</f>
        <v>9.8</v>
      </c>
      <c r="L4" s="60" t="str">
        <f>IF(K4&lt;&gt;"",IFS(K4&gt;=9, "Critical",K4&gt;=7, "High", K4 &gt;=4,"Medium",K4 &gt;= 0.1, "Low"),"")</f>
        <v>Critical</v>
      </c>
      <c r="M4" s="61" t="str">
        <f>IFERROR(__xludf.DUMMYFUNCTION("if(and(C4&lt;&gt;"""",D4&lt;&gt;"""",E4&lt;&gt;"""",F4&lt;&gt;"""",G4&lt;&gt;"""",H4&lt;&gt;"""",I4&lt;&gt;"""",J4&lt;&gt;""""),concatenate(""CVSS:3.1/AV:"", if(C4 &lt;&gt; """", split(right(C4,2),"")""), """"), ""/AC:"", if(D4 &lt;&gt; """", split(right(D4,2),"")""), """"), ""/PR:"", if(E4 &lt;&gt; """", split(right(E4"&amp;",2),"")""), """"), ""/UI:"", if(F4 &lt;&gt; """", split(right(F4,2),"")""), """"), ""/S:"", if(G4 &lt;&gt; """", split(right(G4,2),"")""), """"), ""/C:"", if(H4 &lt;&gt; """", split(right(H4,2),"")""), """"), ""/I:"", if(I4 &lt;&gt; """", split(right(I4,2),"")""), """"), ""/A:"""&amp;", if(J4 &lt;&gt; """", split(right(J4,2),"")""), """")),"""")"),"CVSS:3.1/AV:N/AC:L/PR:N/UI:N/S:U/C:H/I:H/A:H")</f>
        <v>CVSS:3.1/AV:N/AC:L/PR:N/UI:N/S:U/C:H/I:H/A:H</v>
      </c>
      <c r="N4" s="58"/>
      <c r="O4" s="58"/>
      <c r="P4" s="58"/>
      <c r="Q4" s="58"/>
      <c r="R4" s="58"/>
      <c r="S4" s="58"/>
      <c r="T4" s="58"/>
      <c r="U4" s="58"/>
      <c r="V4" s="58"/>
      <c r="W4" s="58"/>
      <c r="X4" s="58"/>
      <c r="Y4" s="58"/>
      <c r="Z4" s="58"/>
      <c r="AA4" s="58"/>
    </row>
    <row r="5" ht="72.0" customHeight="1">
      <c r="A5" s="10">
        <v>2.0</v>
      </c>
      <c r="B5" s="10" t="s">
        <v>69</v>
      </c>
      <c r="C5" s="10" t="s">
        <v>119</v>
      </c>
      <c r="D5" s="10" t="s">
        <v>115</v>
      </c>
      <c r="E5" s="10" t="s">
        <v>115</v>
      </c>
      <c r="F5" s="10" t="s">
        <v>116</v>
      </c>
      <c r="G5" s="10" t="s">
        <v>120</v>
      </c>
      <c r="H5" s="10" t="s">
        <v>118</v>
      </c>
      <c r="I5" s="10" t="s">
        <v>118</v>
      </c>
      <c r="J5" s="10" t="s">
        <v>118</v>
      </c>
      <c r="K5" s="62">
        <v>8.8</v>
      </c>
      <c r="L5" s="10" t="s">
        <v>73</v>
      </c>
      <c r="M5" s="14" t="s">
        <v>121</v>
      </c>
      <c r="N5" s="58"/>
      <c r="O5" s="58"/>
      <c r="P5" s="58"/>
      <c r="Q5" s="58"/>
      <c r="R5" s="58"/>
      <c r="S5" s="58"/>
      <c r="T5" s="58"/>
      <c r="U5" s="58"/>
      <c r="V5" s="58"/>
      <c r="W5" s="58"/>
      <c r="X5" s="58"/>
      <c r="Y5" s="58"/>
      <c r="Z5" s="58"/>
      <c r="AA5" s="58"/>
    </row>
    <row r="6" ht="72.0" customHeight="1">
      <c r="A6" s="10">
        <v>3.0</v>
      </c>
      <c r="B6" s="10" t="s">
        <v>76</v>
      </c>
      <c r="C6" s="10" t="s">
        <v>114</v>
      </c>
      <c r="D6" s="10" t="s">
        <v>118</v>
      </c>
      <c r="E6" s="10" t="s">
        <v>116</v>
      </c>
      <c r="F6" s="10" t="s">
        <v>116</v>
      </c>
      <c r="G6" s="10" t="s">
        <v>117</v>
      </c>
      <c r="H6" s="10" t="s">
        <v>115</v>
      </c>
      <c r="I6" s="10" t="s">
        <v>115</v>
      </c>
      <c r="J6" s="10" t="s">
        <v>116</v>
      </c>
      <c r="K6" s="62">
        <v>5.3</v>
      </c>
      <c r="L6" s="10" t="s">
        <v>80</v>
      </c>
      <c r="M6" s="61" t="str">
        <f>IFERROR(__xludf.DUMMYFUNCTION("if(and(C6&lt;&gt;"""",D6&lt;&gt;"""",E6&lt;&gt;"""",F6&lt;&gt;"""",G6&lt;&gt;"""",H6&lt;&gt;"""",I6&lt;&gt;"""",J6&lt;&gt;""""),concatenate(""CVSS:3.0/AV:"", if(C6 &lt;&gt; """", split(right(C6,2),"")""), """"), ""/AC:"", if(D6 &lt;&gt; """", split(right(D6,2),"")""), """"), ""/PR:"", if(E6 &lt;&gt; """", split(right(E6"&amp;",2),"")""), """"), ""/UI:"", if(F6 &lt;&gt; """", split(right(F6,2),"")""), """"), ""/S:"", if(G6 &lt;&gt; """", split(right(G6,2),"")""), """"), ""/C:"", if(H6 &lt;&gt; """", split(right(H6,2),"")""), """"), ""/I:"", if(I6 &lt;&gt; """", split(right(I6,2),"")""), """"), ""/A:"""&amp;", if(J6 &lt;&gt; """", split(right(J6,2),"")""), """")),"""")"),"CVSS:3.0/AV:N/AC:H/PR:N/UI:N/S:U/C:L/I:L/A:N")</f>
        <v>CVSS:3.0/AV:N/AC:H/PR:N/UI:N/S:U/C:L/I:L/A:N</v>
      </c>
      <c r="N6" s="58"/>
      <c r="O6" s="58"/>
      <c r="P6" s="58"/>
      <c r="Q6" s="58"/>
      <c r="R6" s="58"/>
      <c r="S6" s="58"/>
      <c r="T6" s="58"/>
      <c r="U6" s="58"/>
      <c r="V6" s="58"/>
      <c r="W6" s="58"/>
      <c r="X6" s="58"/>
      <c r="Y6" s="58"/>
      <c r="Z6" s="58"/>
      <c r="AA6" s="58"/>
    </row>
    <row r="7" ht="15.75" customHeight="1">
      <c r="A7" s="24"/>
      <c r="B7" s="24"/>
      <c r="C7" s="24"/>
      <c r="D7" s="24"/>
      <c r="E7" s="24"/>
      <c r="F7" s="24"/>
      <c r="G7" s="24"/>
      <c r="H7" s="24"/>
      <c r="I7" s="24"/>
      <c r="J7" s="24"/>
      <c r="K7" s="63" t="str">
        <f t="shared" ref="K7:K18" si="1">IF(AND(C7&lt;&gt;"",D7&lt;&gt;"",E7&lt;&gt;"",F7&lt;&gt;"",G7&lt;&gt;"",H7&lt;&gt;"",I7&lt;&gt;"",J7&lt;&gt;""),IF((_xludf.ifs(G7 = "Unchanged (U)", 6.42 * (1-((1-(_xludf.ifs(H7 = "None (N)", 0, H7 = "Low (L)", 0.22, H7 = "High (H)", 0.56)))*(1-(_xludf.ifs(I7 = "None (N)", 0, I7 = "Low (L)", 0.22, I7 = "High (H)", 0.56)))*(1-(_xludf.ifs(J7 = "None (N)", 0, J7 = "Low (L)", 0.22, J7 = "High (H)", 0.56))))), G7 = "Changed (C)", 7.52 * ((1-((1-(_xludf.ifs(H7 = "None (N)", 0, H7 = "Low (L)", 0.22, H7 = "High (H)", 0.56)))*(1-(_xludf.ifs(I7 = "None (N)", 0, I7 = "Low (L)", 0.22, I7 = "High (H)", 0.56)))*(1-(_xludf.ifs(J7 = "None (N)", 0, J7 = "Low (L)", 0.22, J7 = "High (H)", 0.56))))) - 0.029) - 3.25 * pow((1-((1-(_xludf.ifs(H7 = "None (N)", 0, H7 = "Low (L)", 0.22, H7 = "High (H)", 0.56)))*(1-(_xludf.ifs(I7 = "None (N)", 0, I7 = "Low (L)", 0.22, I7 = "High (H)", 0.56)))*(1-(_xludf.ifs(J7 = "None (N)", 0, J7 = "Low (L)", 0.22, J7 = "High (H)", 0.56))))) - 0.02,15))) &lt;= 0, 0, _xludf.ifs(G7 = "Unchanged (U)", ROUNDUP(MIN(IF(G7 &lt;&gt; "", _xludf.ifs(G7 = "Unchanged (U)", 6.42 * (1-((1-(_xludf.ifs(H7 = "None (N)", 0, H7 = "Low (L)", 0.22, H7 = "High (H)", 0.56)))*(1-(_xludf.ifs(I7 = "None (N)", 0, I7 = "Low (L)", 0.22, I7 = "High (H)", 0.56)))*(1-(_xludf.ifs(J7 = "None (N)", 0, J7 = "Low (L)", 0.22, J7 = "High (H)", 0.56))))), G7 = "Changed (C)", 7.52 * ((1-((1-(_xludf.ifs(H7 = "None (N)", 0, H7 = "Low (L)", 0.22, H7 = "High (H)", 0.56)))*(1-(_xludf.ifs(I7 = "None (N)", 0, I7 = "Low (L)", 0.22, I7 = "High (H)", 0.56)))*(1-(_xludf.ifs(J7 = "None (N)", 0, J7 = "Low (L)", 0.22, J7 = "High (H)", 0.56))))) - 0.029) - 3.25 * pow((1-((1-(_xludf.ifs(H7 = "None (N)", 0, H7 = "Low (L)", 0.22, H7 = "High (H)", 0.56)))*(1-(_xludf.ifs(I7 = "None (N)", 0, I7 = "Low (L)", 0.22, I7 = "High (H)", 0.56)))*(1-(_xludf.ifs(J7 = "None (N)", 0, J7 = "Low (L)", 0.22, J7 = "High (H)", 0.56))))) - 0.02,15)), "") + 8.22 * _xludf.ifs(C7 = "Network (N)", 0.85, C7 = "Adjacent (A)", 0.62, C7 = "Local (L)", 0.55, C7 = "Physical (P)",0.2) * _xludf.ifs(D7 = "Low (L)", 0.77, D7 = "High (H)", 0.44) * _xludf.ifs(E7 = "None (N)", 0.85, AND(E7 = "Low (L)", G7 = "Unchanged (U)"), 0.62, AND(E7 = "Low (L)", G7 = "Changed (C)"), 0.68, AND(E7 = "High (H)", G7 = "Unchanged (U)"), 0.27, AND(E7 = "High (H)", G7 = "Changed (C)"), 0.5) * _xludf.ifs(F7 = "None (N)", 0.85, F7 = "Required (R)", 0.62),10),1), G7 = "Changed (C)", ROUNDUP(MIN(1.08 * (IF(G7 &lt;&gt; "", _xludf.ifs(G7 = "Unchanged (U)", 6.42 * (1-((1-(_xludf.ifs(H7 = "None (N)", 0, H7 = "Low (L)", 0.22, H7 = "High (H)", 0.56)))*(1-(_xludf.ifs(I7 = "None (N)", 0, I7 = "Low (L)", 0.22, I7 = "High (H)", 0.56)))*(1-(_xludf.ifs(J7 = "None (N)", 0, J7 = "Low (L)", 0.22, J7 = "High (H)", 0.56))))), G7 = "Changed (C)", 7.52 * ((1-((1-(_xludf.ifs(H7 = "None (N)", 0, H7 = "Low (L)", 0.22, H7 = "High (H)", 0.56)))*(1-(_xludf.ifs(I7 = "None (N)", 0, I7 = "Low (L)", 0.22, I7 = "High (H)", 0.56)))*(1-(_xludf.ifs(J7 = "None (N)", 0, J7 = "Low (L)", 0.22, J7 = "High (H)", 0.56))))) - 0.029) - 3.25 * pow((1-((1-(_xludf.ifs(H7 = "None (N)", 0, H7 = "Low (L)", 0.22, H7 = "High (H)", 0.56)))*(1-(_xludf.ifs(I7 = "None (N)", 0, I7 = "Low (L)", 0.22, I7 = "High (H)", 0.56)))*(1-(_xludf.ifs(J7 = "None (N)", 0, J7 = "Low (L)", 0.22, J7 = "High (H)", 0.56))))) - 0.02,15)), "") + 8.22 * _xludf.ifs(C7 = "Network (N)", 0.85, C7 = "Adjacent (A)", 0.62, C7 = "Local (L)", 0.55, C7 = "Physical (P)",0.2) * _xludf.ifs(D7 = "Low (L)", 0.77, D7 = "High (H)", 0.44) * _xludf.ifs(E7 = "None (N)", 0.85, AND(E7 = "Low (L)", G7 = "Unchanged (U)"), 0.62, AND(E7 = "Low (L)", G7 = "Changed (C)"), 0.68, AND(E7 = "High (H)", G7 = "Unchanged (U)"), 0.27, AND(E7 = "High (H)", G7 = "Changed (C)"), 0.5) * _xludf.ifs(F7 = "None (N)", 0.85, F7 = "Required (R)", 0.62)),10),1))),"")</f>
        <v/>
      </c>
      <c r="L7" s="24" t="str">
        <f t="shared" ref="L7:L18" si="2">IF(K7&lt;&gt;"",_xludf.ifs(K7&gt;=7, "High", K7 &gt;=4,"Medium",K7 &gt;= 0.1, "Low"),"")</f>
        <v/>
      </c>
      <c r="M7" s="28" t="str">
        <f>IFERROR(__xludf.DUMMYFUNCTION("if(and(C7&lt;&gt;"""",D7&lt;&gt;"""",E7&lt;&gt;"""",F7&lt;&gt;"""",G7&lt;&gt;"""",H7&lt;&gt;"""",I7&lt;&gt;"""",J7&lt;&gt;""""),concatenate(""CVSS:3.0/AV:"", if(C7 &lt;&gt; """", split(right(C7,2),"")""), """"), ""/AC:"", if(D7 &lt;&gt; """", split(right(D7,2),"")""), """"), ""/PR:"", if(E7 &lt;&gt; """", split(right(E7"&amp;",2),"")""), """"), ""/UI:"", if(F7 &lt;&gt; """", split(right(F7,2),"")""), """"), ""/S:"", if(G7 &lt;&gt; """", split(right(G7,2),"")""), """"), ""/C:"", if(H7 &lt;&gt; """", split(right(H7,2),"")""), """"), ""/I:"", if(I7 &lt;&gt; """", split(right(I7,2),"")""), """"), ""/A:"""&amp;", if(J7 &lt;&gt; """", split(right(J7,2),"")""), """")),"""")"),"")</f>
        <v/>
      </c>
      <c r="N7" s="58"/>
      <c r="O7" s="58"/>
      <c r="P7" s="58"/>
      <c r="Q7" s="58"/>
      <c r="R7" s="58"/>
      <c r="S7" s="58"/>
      <c r="T7" s="58"/>
      <c r="U7" s="58"/>
      <c r="V7" s="58"/>
      <c r="W7" s="58"/>
      <c r="X7" s="58"/>
      <c r="Y7" s="58"/>
      <c r="Z7" s="58"/>
      <c r="AA7" s="58"/>
    </row>
    <row r="8" ht="15.75" customHeight="1">
      <c r="A8" s="24"/>
      <c r="B8" s="24"/>
      <c r="C8" s="24"/>
      <c r="D8" s="24"/>
      <c r="E8" s="24"/>
      <c r="F8" s="24"/>
      <c r="G8" s="24"/>
      <c r="H8" s="24"/>
      <c r="I8" s="24"/>
      <c r="J8" s="24"/>
      <c r="K8" s="63" t="str">
        <f t="shared" si="1"/>
        <v/>
      </c>
      <c r="L8" s="24" t="str">
        <f t="shared" si="2"/>
        <v/>
      </c>
      <c r="M8" s="28" t="str">
        <f>IFERROR(__xludf.DUMMYFUNCTION("if(and(C8&lt;&gt;"""",D8&lt;&gt;"""",E8&lt;&gt;"""",F8&lt;&gt;"""",G8&lt;&gt;"""",H8&lt;&gt;"""",I8&lt;&gt;"""",J8&lt;&gt;""""),concatenate(""CVSS:3.0/AV:"", if(C8 &lt;&gt; """", split(right(C8,2),"")""), """"), ""/AC:"", if(D8 &lt;&gt; """", split(right(D8,2),"")""), """"), ""/PR:"", if(E8 &lt;&gt; """", split(right(E8"&amp;",2),"")""), """"), ""/UI:"", if(F8 &lt;&gt; """", split(right(F8,2),"")""), """"), ""/S:"", if(G8 &lt;&gt; """", split(right(G8,2),"")""), """"), ""/C:"", if(H8 &lt;&gt; """", split(right(H8,2),"")""), """"), ""/I:"", if(I8 &lt;&gt; """", split(right(I8,2),"")""), """"), ""/A:"""&amp;", if(J8 &lt;&gt; """", split(right(J8,2),"")""), """")),"""")"),"")</f>
        <v/>
      </c>
      <c r="N8" s="58"/>
      <c r="O8" s="58"/>
      <c r="P8" s="58"/>
      <c r="Q8" s="58"/>
      <c r="R8" s="58"/>
      <c r="S8" s="58"/>
      <c r="T8" s="58"/>
      <c r="U8" s="58"/>
      <c r="V8" s="58"/>
      <c r="W8" s="58"/>
      <c r="X8" s="58"/>
      <c r="Y8" s="58"/>
      <c r="Z8" s="58"/>
      <c r="AA8" s="58"/>
    </row>
    <row r="9" ht="15.75" customHeight="1">
      <c r="A9" s="24"/>
      <c r="B9" s="24"/>
      <c r="C9" s="24"/>
      <c r="D9" s="24"/>
      <c r="E9" s="24"/>
      <c r="F9" s="24"/>
      <c r="G9" s="24"/>
      <c r="H9" s="24"/>
      <c r="I9" s="24"/>
      <c r="J9" s="24"/>
      <c r="K9" s="63" t="str">
        <f t="shared" si="1"/>
        <v/>
      </c>
      <c r="L9" s="24" t="str">
        <f t="shared" si="2"/>
        <v/>
      </c>
      <c r="M9" s="28" t="str">
        <f>IFERROR(__xludf.DUMMYFUNCTION("if(and(C9&lt;&gt;"""",D9&lt;&gt;"""",E9&lt;&gt;"""",F9&lt;&gt;"""",G9&lt;&gt;"""",H9&lt;&gt;"""",I9&lt;&gt;"""",J9&lt;&gt;""""),concatenate(""CVSS:3.0/AV:"", if(C9 &lt;&gt; """", split(right(C9,2),"")""), """"), ""/AC:"", if(D9 &lt;&gt; """", split(right(D9,2),"")""), """"), ""/PR:"", if(E9 &lt;&gt; """", split(right(E9"&amp;",2),"")""), """"), ""/UI:"", if(F9 &lt;&gt; """", split(right(F9,2),"")""), """"), ""/S:"", if(G9 &lt;&gt; """", split(right(G9,2),"")""), """"), ""/C:"", if(H9 &lt;&gt; """", split(right(H9,2),"")""), """"), ""/I:"", if(I9 &lt;&gt; """", split(right(I9,2),"")""), """"), ""/A:"""&amp;", if(J9 &lt;&gt; """", split(right(J9,2),"")""), """")),"""")"),"")</f>
        <v/>
      </c>
      <c r="N9" s="58"/>
      <c r="O9" s="58"/>
      <c r="P9" s="58"/>
      <c r="Q9" s="58"/>
      <c r="R9" s="58"/>
      <c r="S9" s="58"/>
      <c r="T9" s="58"/>
      <c r="U9" s="58"/>
      <c r="V9" s="58"/>
      <c r="W9" s="58"/>
      <c r="X9" s="58"/>
      <c r="Y9" s="58"/>
      <c r="Z9" s="58"/>
      <c r="AA9" s="58"/>
    </row>
    <row r="10" ht="15.75" customHeight="1">
      <c r="A10" s="24"/>
      <c r="B10" s="24"/>
      <c r="C10" s="24"/>
      <c r="D10" s="24"/>
      <c r="E10" s="24"/>
      <c r="F10" s="24"/>
      <c r="G10" s="24"/>
      <c r="H10" s="24"/>
      <c r="I10" s="24"/>
      <c r="J10" s="24"/>
      <c r="K10" s="63" t="str">
        <f t="shared" si="1"/>
        <v/>
      </c>
      <c r="L10" s="24" t="str">
        <f t="shared" si="2"/>
        <v/>
      </c>
      <c r="M10" s="28" t="str">
        <f>IFERROR(__xludf.DUMMYFUNCTION("if(and(C10&lt;&gt;"""",D10&lt;&gt;"""",E10&lt;&gt;"""",F10&lt;&gt;"""",G10&lt;&gt;"""",H10&lt;&gt;"""",I10&lt;&gt;"""",J10&lt;&gt;""""),concatenate(""CVSS:3.0/AV:"", if(C10 &lt;&gt; """", split(right(C10,2),"")""), """"), ""/AC:"", if(D10 &lt;&gt; """", split(right(D10,2),"")""), """"), ""/PR:"", if(E10 &lt;&gt; """", s"&amp;"plit(right(E10,2),"")""), """"), ""/UI:"", if(F10 &lt;&gt; """", split(right(F10,2),"")""), """"), ""/S:"", if(G10 &lt;&gt; """", split(right(G10,2),"")""), """"), ""/C:"", if(H10 &lt;&gt; """", split(right(H10,2),"")""), """"), ""/I:"", if(I10 &lt;&gt; """", split(right(I10,2),"&amp;""")""), """"), ""/A:"", if(J10 &lt;&gt; """", split(right(J10,2),"")""), """")),"""")"),"")</f>
        <v/>
      </c>
      <c r="N10" s="58"/>
      <c r="O10" s="58"/>
      <c r="P10" s="58"/>
      <c r="Q10" s="58"/>
      <c r="R10" s="58"/>
      <c r="S10" s="58"/>
      <c r="T10" s="58"/>
      <c r="U10" s="58"/>
      <c r="V10" s="58"/>
      <c r="W10" s="58"/>
      <c r="X10" s="58"/>
      <c r="Y10" s="58"/>
      <c r="Z10" s="58"/>
      <c r="AA10" s="58"/>
    </row>
    <row r="11" ht="15.75" customHeight="1">
      <c r="A11" s="24"/>
      <c r="B11" s="24"/>
      <c r="C11" s="24"/>
      <c r="D11" s="24"/>
      <c r="E11" s="24"/>
      <c r="F11" s="24"/>
      <c r="G11" s="24"/>
      <c r="H11" s="24"/>
      <c r="I11" s="24"/>
      <c r="J11" s="24"/>
      <c r="K11" s="63" t="str">
        <f t="shared" si="1"/>
        <v/>
      </c>
      <c r="L11" s="24" t="str">
        <f t="shared" si="2"/>
        <v/>
      </c>
      <c r="M11" s="28" t="str">
        <f>IFERROR(__xludf.DUMMYFUNCTION("if(and(C11&lt;&gt;"""",D11&lt;&gt;"""",E11&lt;&gt;"""",F11&lt;&gt;"""",G11&lt;&gt;"""",H11&lt;&gt;"""",I11&lt;&gt;"""",J11&lt;&gt;""""),concatenate(""CVSS:3.0/AV:"", if(C11 &lt;&gt; """", split(right(C11,2),"")""), """"), ""/AC:"", if(D11 &lt;&gt; """", split(right(D11,2),"")""), """"), ""/PR:"", if(E11 &lt;&gt; """", s"&amp;"plit(right(E11,2),"")""), """"), ""/UI:"", if(F11 &lt;&gt; """", split(right(F11,2),"")""), """"), ""/S:"", if(G11 &lt;&gt; """", split(right(G11,2),"")""), """"), ""/C:"", if(H11 &lt;&gt; """", split(right(H11,2),"")""), """"), ""/I:"", if(I11 &lt;&gt; """", split(right(I11,2),"&amp;""")""), """"), ""/A:"", if(J11 &lt;&gt; """", split(right(J11,2),"")""), """")),"""")"),"")</f>
        <v/>
      </c>
      <c r="N11" s="58"/>
      <c r="O11" s="58"/>
      <c r="P11" s="58"/>
      <c r="Q11" s="58"/>
      <c r="R11" s="58"/>
      <c r="S11" s="58"/>
      <c r="T11" s="58"/>
      <c r="U11" s="58"/>
      <c r="V11" s="58"/>
      <c r="W11" s="58"/>
      <c r="X11" s="58"/>
      <c r="Y11" s="58"/>
      <c r="Z11" s="58"/>
      <c r="AA11" s="58"/>
    </row>
    <row r="12" ht="15.75" customHeight="1">
      <c r="A12" s="24"/>
      <c r="B12" s="24"/>
      <c r="C12" s="24"/>
      <c r="D12" s="24"/>
      <c r="E12" s="24"/>
      <c r="F12" s="24"/>
      <c r="G12" s="24"/>
      <c r="H12" s="24"/>
      <c r="I12" s="24"/>
      <c r="J12" s="24"/>
      <c r="K12" s="63" t="str">
        <f t="shared" si="1"/>
        <v/>
      </c>
      <c r="L12" s="24" t="str">
        <f t="shared" si="2"/>
        <v/>
      </c>
      <c r="M12" s="28" t="str">
        <f>IFERROR(__xludf.DUMMYFUNCTION("if(and(C12&lt;&gt;"""",D12&lt;&gt;"""",E12&lt;&gt;"""",F12&lt;&gt;"""",G12&lt;&gt;"""",H12&lt;&gt;"""",I12&lt;&gt;"""",J12&lt;&gt;""""),concatenate(""CVSS:3.0/AV:"", if(C12 &lt;&gt; """", split(right(C12,2),"")""), """"), ""/AC:"", if(D12 &lt;&gt; """", split(right(D12,2),"")""), """"), ""/PR:"", if(E12 &lt;&gt; """", s"&amp;"plit(right(E12,2),"")""), """"), ""/UI:"", if(F12 &lt;&gt; """", split(right(F12,2),"")""), """"), ""/S:"", if(G12 &lt;&gt; """", split(right(G12,2),"")""), """"), ""/C:"", if(H12 &lt;&gt; """", split(right(H12,2),"")""), """"), ""/I:"", if(I12 &lt;&gt; """", split(right(I12,2),"&amp;""")""), """"), ""/A:"", if(J12 &lt;&gt; """", split(right(J12,2),"")""), """")),"""")"),"")</f>
        <v/>
      </c>
      <c r="N12" s="58"/>
      <c r="O12" s="58"/>
      <c r="P12" s="58"/>
      <c r="Q12" s="58"/>
      <c r="R12" s="58"/>
      <c r="S12" s="58"/>
      <c r="T12" s="58"/>
      <c r="U12" s="58"/>
      <c r="V12" s="58"/>
      <c r="W12" s="58"/>
      <c r="X12" s="58"/>
      <c r="Y12" s="58"/>
      <c r="Z12" s="58"/>
      <c r="AA12" s="58"/>
    </row>
    <row r="13" ht="15.75" customHeight="1">
      <c r="A13" s="24"/>
      <c r="B13" s="24"/>
      <c r="C13" s="24"/>
      <c r="D13" s="24"/>
      <c r="E13" s="24"/>
      <c r="F13" s="24"/>
      <c r="G13" s="24"/>
      <c r="H13" s="24"/>
      <c r="I13" s="24"/>
      <c r="J13" s="24"/>
      <c r="K13" s="63" t="str">
        <f t="shared" si="1"/>
        <v/>
      </c>
      <c r="L13" s="24" t="str">
        <f t="shared" si="2"/>
        <v/>
      </c>
      <c r="M13" s="28" t="str">
        <f>IFERROR(__xludf.DUMMYFUNCTION("if(and(C13&lt;&gt;"""",D13&lt;&gt;"""",E13&lt;&gt;"""",F13&lt;&gt;"""",G13&lt;&gt;"""",H13&lt;&gt;"""",I13&lt;&gt;"""",J13&lt;&gt;""""),concatenate(""CVSS:3.0/AV:"", if(C13 &lt;&gt; """", split(right(C13,2),"")""), """"), ""/AC:"", if(D13 &lt;&gt; """", split(right(D13,2),"")""), """"), ""/PR:"", if(E13 &lt;&gt; """", s"&amp;"plit(right(E13,2),"")""), """"), ""/UI:"", if(F13 &lt;&gt; """", split(right(F13,2),"")""), """"), ""/S:"", if(G13 &lt;&gt; """", split(right(G13,2),"")""), """"), ""/C:"", if(H13 &lt;&gt; """", split(right(H13,2),"")""), """"), ""/I:"", if(I13 &lt;&gt; """", split(right(I13,2),"&amp;""")""), """"), ""/A:"", if(J13 &lt;&gt; """", split(right(J13,2),"")""), """")),"""")"),"")</f>
        <v/>
      </c>
      <c r="N13" s="58"/>
      <c r="O13" s="58"/>
      <c r="P13" s="58"/>
      <c r="Q13" s="58"/>
      <c r="R13" s="58"/>
      <c r="S13" s="58"/>
      <c r="T13" s="58"/>
      <c r="U13" s="58"/>
      <c r="V13" s="58"/>
      <c r="W13" s="58"/>
      <c r="X13" s="58"/>
      <c r="Y13" s="58"/>
      <c r="Z13" s="58"/>
      <c r="AA13" s="58"/>
    </row>
    <row r="14" ht="15.75" customHeight="1">
      <c r="A14" s="24"/>
      <c r="B14" s="24"/>
      <c r="C14" s="24"/>
      <c r="D14" s="24"/>
      <c r="E14" s="24"/>
      <c r="F14" s="24"/>
      <c r="G14" s="24"/>
      <c r="H14" s="24"/>
      <c r="I14" s="24"/>
      <c r="J14" s="24"/>
      <c r="K14" s="63" t="str">
        <f t="shared" si="1"/>
        <v/>
      </c>
      <c r="L14" s="24" t="str">
        <f t="shared" si="2"/>
        <v/>
      </c>
      <c r="M14" s="28" t="str">
        <f>IFERROR(__xludf.DUMMYFUNCTION("if(and(C14&lt;&gt;"""",D14&lt;&gt;"""",E14&lt;&gt;"""",F14&lt;&gt;"""",G14&lt;&gt;"""",H14&lt;&gt;"""",I14&lt;&gt;"""",J14&lt;&gt;""""),concatenate(""CVSS:3.0/AV:"", if(C14 &lt;&gt; """", split(right(C14,2),"")""), """"), ""/AC:"", if(D14 &lt;&gt; """", split(right(D14,2),"")""), """"), ""/PR:"", if(E14 &lt;&gt; """", s"&amp;"plit(right(E14,2),"")""), """"), ""/UI:"", if(F14 &lt;&gt; """", split(right(F14,2),"")""), """"), ""/S:"", if(G14 &lt;&gt; """", split(right(G14,2),"")""), """"), ""/C:"", if(H14 &lt;&gt; """", split(right(H14,2),"")""), """"), ""/I:"", if(I14 &lt;&gt; """", split(right(I14,2),"&amp;""")""), """"), ""/A:"", if(J14 &lt;&gt; """", split(right(J14,2),"")""), """")),"""")"),"")</f>
        <v/>
      </c>
      <c r="N14" s="58" t="s">
        <v>122</v>
      </c>
      <c r="O14" s="58"/>
      <c r="P14" s="58"/>
      <c r="Q14" s="58"/>
      <c r="R14" s="58"/>
      <c r="S14" s="58"/>
      <c r="T14" s="58"/>
      <c r="U14" s="58"/>
      <c r="V14" s="58"/>
      <c r="W14" s="58"/>
      <c r="X14" s="58"/>
      <c r="Y14" s="58"/>
      <c r="Z14" s="58"/>
      <c r="AA14" s="58"/>
    </row>
    <row r="15" ht="15.75" customHeight="1">
      <c r="A15" s="24"/>
      <c r="B15" s="24"/>
      <c r="C15" s="24"/>
      <c r="D15" s="24"/>
      <c r="E15" s="24"/>
      <c r="F15" s="24"/>
      <c r="G15" s="24"/>
      <c r="H15" s="24"/>
      <c r="I15" s="24"/>
      <c r="J15" s="24"/>
      <c r="K15" s="63" t="str">
        <f t="shared" si="1"/>
        <v/>
      </c>
      <c r="L15" s="24" t="str">
        <f t="shared" si="2"/>
        <v/>
      </c>
      <c r="M15" s="28" t="str">
        <f>IFERROR(__xludf.DUMMYFUNCTION("if(and(C15&lt;&gt;"""",D15&lt;&gt;"""",E15&lt;&gt;"""",F15&lt;&gt;"""",G15&lt;&gt;"""",H15&lt;&gt;"""",I15&lt;&gt;"""",J15&lt;&gt;""""),concatenate(""CVSS:3.0/AV:"", if(C15 &lt;&gt; """", split(right(C15,2),"")""), """"), ""/AC:"", if(D15 &lt;&gt; """", split(right(D15,2),"")""), """"), ""/PR:"", if(E15 &lt;&gt; """", s"&amp;"plit(right(E15,2),"")""), """"), ""/UI:"", if(F15 &lt;&gt; """", split(right(F15,2),"")""), """"), ""/S:"", if(G15 &lt;&gt; """", split(right(G15,2),"")""), """"), ""/C:"", if(H15 &lt;&gt; """", split(right(H15,2),"")""), """"), ""/I:"", if(I15 &lt;&gt; """", split(right(I15,2),"&amp;""")""), """"), ""/A:"", if(J15 &lt;&gt; """", split(right(J15,2),"")""), """")),"""")"),"")</f>
        <v/>
      </c>
      <c r="N15" s="58"/>
      <c r="O15" s="58"/>
      <c r="P15" s="58"/>
      <c r="Q15" s="58"/>
      <c r="R15" s="58"/>
      <c r="S15" s="58"/>
      <c r="T15" s="58"/>
      <c r="U15" s="58"/>
      <c r="V15" s="58"/>
      <c r="W15" s="58"/>
      <c r="X15" s="58"/>
      <c r="Y15" s="58"/>
      <c r="Z15" s="58"/>
      <c r="AA15" s="58"/>
    </row>
    <row r="16" ht="15.75" customHeight="1">
      <c r="A16" s="24"/>
      <c r="B16" s="24"/>
      <c r="C16" s="24"/>
      <c r="D16" s="24"/>
      <c r="E16" s="24"/>
      <c r="F16" s="24"/>
      <c r="G16" s="24"/>
      <c r="H16" s="24"/>
      <c r="I16" s="24"/>
      <c r="J16" s="24"/>
      <c r="K16" s="63" t="str">
        <f t="shared" si="1"/>
        <v/>
      </c>
      <c r="L16" s="24" t="str">
        <f t="shared" si="2"/>
        <v/>
      </c>
      <c r="M16" s="28" t="str">
        <f>IFERROR(__xludf.DUMMYFUNCTION("if(and(C16&lt;&gt;"""",D16&lt;&gt;"""",E16&lt;&gt;"""",F16&lt;&gt;"""",G16&lt;&gt;"""",H16&lt;&gt;"""",I16&lt;&gt;"""",J16&lt;&gt;""""),concatenate(""CVSS:3.0/AV:"", if(C16 &lt;&gt; """", split(right(C16,2),"")""), """"), ""/AC:"", if(D16 &lt;&gt; """", split(right(D16,2),"")""), """"), ""/PR:"", if(E16 &lt;&gt; """", s"&amp;"plit(right(E16,2),"")""), """"), ""/UI:"", if(F16 &lt;&gt; """", split(right(F16,2),"")""), """"), ""/S:"", if(G16 &lt;&gt; """", split(right(G16,2),"")""), """"), ""/C:"", if(H16 &lt;&gt; """", split(right(H16,2),"")""), """"), ""/I:"", if(I16 &lt;&gt; """", split(right(I16,2),"&amp;""")""), """"), ""/A:"", if(J16 &lt;&gt; """", split(right(J16,2),"")""), """")),"""")"),"")</f>
        <v/>
      </c>
      <c r="N16" s="58"/>
      <c r="O16" s="58"/>
      <c r="P16" s="58"/>
      <c r="Q16" s="58"/>
      <c r="R16" s="58"/>
      <c r="S16" s="58"/>
      <c r="T16" s="58"/>
      <c r="U16" s="58"/>
      <c r="V16" s="58"/>
      <c r="W16" s="58"/>
      <c r="X16" s="58"/>
      <c r="Y16" s="58"/>
      <c r="Z16" s="58"/>
      <c r="AA16" s="58"/>
    </row>
    <row r="17" ht="15.75" customHeight="1">
      <c r="A17" s="24"/>
      <c r="B17" s="24"/>
      <c r="C17" s="24"/>
      <c r="D17" s="24"/>
      <c r="E17" s="24"/>
      <c r="F17" s="24"/>
      <c r="G17" s="24"/>
      <c r="H17" s="24"/>
      <c r="I17" s="24"/>
      <c r="J17" s="24"/>
      <c r="K17" s="63" t="str">
        <f t="shared" si="1"/>
        <v/>
      </c>
      <c r="L17" s="24" t="str">
        <f t="shared" si="2"/>
        <v/>
      </c>
      <c r="M17" s="28" t="str">
        <f>IFERROR(__xludf.DUMMYFUNCTION("if(and(C17&lt;&gt;"""",D17&lt;&gt;"""",E17&lt;&gt;"""",F17&lt;&gt;"""",G17&lt;&gt;"""",H17&lt;&gt;"""",I17&lt;&gt;"""",J17&lt;&gt;""""),concatenate(""CVSS:3.0/AV:"", if(C17 &lt;&gt; """", split(right(C17,2),"")""), """"), ""/AC:"", if(D17 &lt;&gt; """", split(right(D17,2),"")""), """"), ""/PR:"", if(E17 &lt;&gt; """", s"&amp;"plit(right(E17,2),"")""), """"), ""/UI:"", if(F17 &lt;&gt; """", split(right(F17,2),"")""), """"), ""/S:"", if(G17 &lt;&gt; """", split(right(G17,2),"")""), """"), ""/C:"", if(H17 &lt;&gt; """", split(right(H17,2),"")""), """"), ""/I:"", if(I17 &lt;&gt; """", split(right(I17,2),"&amp;""")""), """"), ""/A:"", if(J17 &lt;&gt; """", split(right(J17,2),"")""), """")),"""")"),"")</f>
        <v/>
      </c>
      <c r="N17" s="58"/>
      <c r="O17" s="58"/>
      <c r="P17" s="58"/>
      <c r="Q17" s="58"/>
      <c r="R17" s="58"/>
      <c r="S17" s="58"/>
      <c r="T17" s="58"/>
      <c r="U17" s="58"/>
      <c r="V17" s="58"/>
      <c r="W17" s="58"/>
      <c r="X17" s="58"/>
      <c r="Y17" s="58"/>
      <c r="Z17" s="58"/>
      <c r="AA17" s="58"/>
    </row>
    <row r="18" ht="15.75" customHeight="1">
      <c r="A18" s="24"/>
      <c r="B18" s="24"/>
      <c r="C18" s="24"/>
      <c r="D18" s="24"/>
      <c r="E18" s="24"/>
      <c r="F18" s="24"/>
      <c r="G18" s="24"/>
      <c r="H18" s="24"/>
      <c r="I18" s="24"/>
      <c r="J18" s="24"/>
      <c r="K18" s="63" t="str">
        <f t="shared" si="1"/>
        <v/>
      </c>
      <c r="L18" s="24" t="str">
        <f t="shared" si="2"/>
        <v/>
      </c>
      <c r="M18" s="28" t="str">
        <f>IFERROR(__xludf.DUMMYFUNCTION("if(and(C18&lt;&gt;"""",D18&lt;&gt;"""",E18&lt;&gt;"""",F18&lt;&gt;"""",G18&lt;&gt;"""",H18&lt;&gt;"""",I18&lt;&gt;"""",J18&lt;&gt;""""),concatenate(""CVSS:3.0/AV:"", if(C18 &lt;&gt; """", split(right(C18,2),"")""), """"), ""/AC:"", if(D18 &lt;&gt; """", split(right(D18,2),"")""), """"), ""/PR:"", if(E18 &lt;&gt; """", s"&amp;"plit(right(E18,2),"")""), """"), ""/UI:"", if(F18 &lt;&gt; """", split(right(F18,2),"")""), """"), ""/S:"", if(G18 &lt;&gt; """", split(right(G18,2),"")""), """"), ""/C:"", if(H18 &lt;&gt; """", split(right(H18,2),"")""), """"), ""/I:"", if(I18 &lt;&gt; """", split(right(I18,2),"&amp;""")""), """"), ""/A:"", if(J18 &lt;&gt; """", split(right(J18,2),"")""), """")),"""")"),"")</f>
        <v/>
      </c>
      <c r="N18" s="58"/>
      <c r="O18" s="58"/>
      <c r="P18" s="58"/>
      <c r="Q18" s="58"/>
      <c r="R18" s="58"/>
      <c r="S18" s="58"/>
      <c r="T18" s="58"/>
      <c r="U18" s="58"/>
      <c r="V18" s="58"/>
      <c r="W18" s="58"/>
      <c r="X18" s="58"/>
      <c r="Y18" s="58"/>
      <c r="Z18" s="58"/>
      <c r="AA18" s="58"/>
    </row>
    <row r="19" ht="15.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row>
    <row r="20" ht="15.75" customHeight="1">
      <c r="A20" s="46" t="s">
        <v>83</v>
      </c>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row>
    <row r="21" ht="15.75" customHeight="1">
      <c r="A21" s="47" t="s">
        <v>123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4:D18">
      <formula1>References!$B$4:$B$5</formula1>
    </dataValidation>
    <dataValidation type="list" allowBlank="1" sqref="F4:F18">
      <formula1>References!$D$4:$D$5</formula1>
    </dataValidation>
    <dataValidation type="list" allowBlank="1" sqref="C4:C18">
      <formula1>References!$A$4:$A$7</formula1>
    </dataValidation>
    <dataValidation type="list" allowBlank="1" sqref="H4:H18">
      <formula1>References!$F$4:$F$6</formula1>
    </dataValidation>
    <dataValidation type="list" allowBlank="1" sqref="J4:J18">
      <formula1>References!$H$4:$H$6</formula1>
    </dataValidation>
    <dataValidation type="list" allowBlank="1" sqref="G4:G18">
      <formula1>References!$E$4:$E$5</formula1>
    </dataValidation>
    <dataValidation type="list" allowBlank="1" sqref="E4:E18">
      <formula1>References!$C$4:$C$6</formula1>
    </dataValidation>
    <dataValidation type="list" allowBlank="1" sqref="I4:I18">
      <formula1>References!$G$4:$G$6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6.25"/>
    <col customWidth="1" min="2" max="2" width="18.38"/>
    <col customWidth="1" min="3" max="3" width="15.88"/>
    <col customWidth="1" min="4" max="4" width="16.63"/>
    <col customWidth="1" min="5" max="9" width="15.13"/>
    <col customWidth="1" min="10" max="10" width="19.25"/>
  </cols>
  <sheetData>
    <row r="1" ht="15.75" customHeight="1">
      <c r="A1" s="2" t="s">
        <v>124</v>
      </c>
    </row>
    <row r="2" ht="15.75" customHeight="1"/>
    <row r="3" ht="43.5" customHeight="1">
      <c r="A3" s="64" t="s">
        <v>104</v>
      </c>
      <c r="B3" s="64" t="s">
        <v>105</v>
      </c>
      <c r="C3" s="64" t="s">
        <v>106</v>
      </c>
      <c r="D3" s="64" t="s">
        <v>107</v>
      </c>
      <c r="E3" s="64" t="s">
        <v>108</v>
      </c>
      <c r="F3" s="64" t="s">
        <v>109</v>
      </c>
      <c r="G3" s="64" t="s">
        <v>110</v>
      </c>
      <c r="H3" s="64" t="s">
        <v>111</v>
      </c>
      <c r="I3" s="64" t="s">
        <v>125</v>
      </c>
      <c r="J3" s="64" t="s">
        <v>52</v>
      </c>
      <c r="K3" s="64" t="s">
        <v>10</v>
      </c>
      <c r="L3" s="65"/>
      <c r="M3" s="65"/>
      <c r="N3" s="65"/>
      <c r="O3" s="65"/>
      <c r="P3" s="65"/>
      <c r="Q3" s="65"/>
      <c r="R3" s="65"/>
      <c r="S3" s="65"/>
      <c r="T3" s="65"/>
      <c r="U3" s="65"/>
      <c r="V3" s="65"/>
      <c r="W3" s="65"/>
      <c r="X3" s="65"/>
      <c r="Y3" s="65"/>
      <c r="Z3" s="65"/>
    </row>
    <row r="4" ht="15.75" customHeight="1">
      <c r="A4" s="66" t="s">
        <v>114</v>
      </c>
      <c r="B4" s="66" t="s">
        <v>115</v>
      </c>
      <c r="C4" s="66" t="s">
        <v>116</v>
      </c>
      <c r="D4" s="66" t="s">
        <v>116</v>
      </c>
      <c r="E4" s="66" t="s">
        <v>117</v>
      </c>
      <c r="F4" s="66" t="s">
        <v>116</v>
      </c>
      <c r="G4" s="66" t="s">
        <v>116</v>
      </c>
      <c r="H4" s="66" t="s">
        <v>116</v>
      </c>
      <c r="I4" s="66" t="s">
        <v>73</v>
      </c>
      <c r="J4" s="66" t="s">
        <v>67</v>
      </c>
      <c r="K4" s="66" t="s">
        <v>18</v>
      </c>
    </row>
    <row r="5" ht="15.75" customHeight="1">
      <c r="A5" s="66" t="s">
        <v>126</v>
      </c>
      <c r="B5" s="66" t="s">
        <v>118</v>
      </c>
      <c r="C5" s="66" t="s">
        <v>115</v>
      </c>
      <c r="D5" s="66" t="s">
        <v>127</v>
      </c>
      <c r="E5" s="66" t="s">
        <v>120</v>
      </c>
      <c r="F5" s="66" t="s">
        <v>115</v>
      </c>
      <c r="G5" s="66" t="s">
        <v>115</v>
      </c>
      <c r="H5" s="66" t="s">
        <v>115</v>
      </c>
      <c r="I5" s="66" t="s">
        <v>80</v>
      </c>
      <c r="J5" s="66" t="s">
        <v>128</v>
      </c>
      <c r="K5" s="66" t="s">
        <v>129</v>
      </c>
    </row>
    <row r="6" ht="15.75" customHeight="1">
      <c r="A6" s="66" t="s">
        <v>119</v>
      </c>
      <c r="B6" s="66"/>
      <c r="C6" s="66" t="s">
        <v>118</v>
      </c>
      <c r="D6" s="66"/>
      <c r="E6" s="66"/>
      <c r="F6" s="66" t="s">
        <v>118</v>
      </c>
      <c r="G6" s="66" t="s">
        <v>118</v>
      </c>
      <c r="H6" s="66" t="s">
        <v>118</v>
      </c>
      <c r="I6" s="66" t="s">
        <v>130</v>
      </c>
      <c r="J6" s="66" t="s">
        <v>61</v>
      </c>
      <c r="K6" s="66"/>
    </row>
    <row r="7" ht="15.75" customHeight="1">
      <c r="A7" s="66" t="s">
        <v>131</v>
      </c>
      <c r="B7" s="66"/>
      <c r="C7" s="66"/>
      <c r="D7" s="66"/>
      <c r="E7" s="66"/>
      <c r="F7" s="66"/>
      <c r="G7" s="66"/>
      <c r="H7" s="66"/>
      <c r="I7" s="66" t="s">
        <v>59</v>
      </c>
      <c r="J7" s="66" t="s">
        <v>132</v>
      </c>
      <c r="K7" s="66"/>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2024-09-12T02:15:20Z</dcterms:created>
</cp:coreProperties>
</file>